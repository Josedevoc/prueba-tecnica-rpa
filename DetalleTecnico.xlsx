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USUARIO\Desktop\"/>
    </mc:Choice>
  </mc:AlternateContent>
  <xr:revisionPtr revIDLastSave="0" documentId="8_{D9762F5D-0AFE-47EE-B28A-47AB1C56BA91}" xr6:coauthVersionLast="47" xr6:coauthVersionMax="47" xr10:uidLastSave="{00000000-0000-0000-0000-000000000000}"/>
  <bookViews>
    <workbookView xWindow="33960" yWindow="4935" windowWidth="21600" windowHeight="11295" activeTab="6" xr2:uid="{26018BD4-6F29-4F55-9E53-2B0152CA93B3}"/>
  </bookViews>
  <sheets>
    <sheet name="PruebaTecnica" sheetId="1" r:id="rId1"/>
    <sheet name="DetalleTécnico" sheetId="2" r:id="rId2"/>
    <sheet name="Lineas de credito" sheetId="3" r:id="rId3"/>
    <sheet name="CodigoDANE" sheetId="4" r:id="rId4"/>
    <sheet name="Convenios" sheetId="5" r:id="rId5"/>
    <sheet name="BaseLiquidacion" sheetId="6" r:id="rId6"/>
    <sheet name="CodAseguradoras"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90" i="2" l="1"/>
  <c r="P287" i="2"/>
  <c r="P278" i="2"/>
  <c r="P277" i="2"/>
  <c r="P276" i="2"/>
  <c r="P275" i="2"/>
  <c r="P274" i="2"/>
  <c r="P268" i="2"/>
  <c r="P267" i="2"/>
  <c r="P266" i="2"/>
  <c r="P265" i="2"/>
  <c r="P263" i="2"/>
  <c r="P262" i="2"/>
  <c r="P261" i="2"/>
  <c r="P260" i="2"/>
  <c r="P259" i="2"/>
  <c r="P253" i="2"/>
  <c r="P252" i="2"/>
  <c r="P251" i="2"/>
  <c r="P250" i="2"/>
  <c r="P248" i="2"/>
  <c r="P247" i="2"/>
  <c r="P246" i="2"/>
  <c r="P245" i="2"/>
  <c r="P244" i="2"/>
  <c r="P238" i="2"/>
  <c r="P237" i="2"/>
  <c r="P236" i="2"/>
  <c r="P235" i="2"/>
  <c r="P211" i="2"/>
  <c r="P210" i="2"/>
  <c r="P209" i="2"/>
  <c r="P208" i="2"/>
  <c r="P207" i="2"/>
  <c r="P206" i="2"/>
  <c r="P205" i="2"/>
  <c r="P204" i="2"/>
  <c r="P203" i="2"/>
  <c r="P202" i="2"/>
  <c r="P201" i="2"/>
  <c r="P200" i="2"/>
  <c r="P199" i="2"/>
  <c r="P198" i="2"/>
  <c r="P197" i="2"/>
  <c r="P196" i="2"/>
  <c r="P195" i="2"/>
  <c r="P194" i="2"/>
  <c r="P193" i="2"/>
  <c r="P192" i="2"/>
  <c r="P191" i="2"/>
  <c r="P190" i="2"/>
  <c r="P189" i="2"/>
  <c r="P188" i="2"/>
  <c r="P187" i="2"/>
  <c r="P186" i="2"/>
  <c r="P185" i="2"/>
  <c r="P184" i="2"/>
  <c r="P183" i="2"/>
  <c r="P182" i="2"/>
  <c r="P181" i="2"/>
  <c r="P180" i="2"/>
  <c r="P179" i="2"/>
  <c r="P178" i="2"/>
  <c r="P177" i="2"/>
  <c r="P176" i="2"/>
  <c r="P175" i="2"/>
  <c r="P174" i="2"/>
  <c r="P173" i="2"/>
  <c r="P172" i="2"/>
  <c r="P171" i="2"/>
  <c r="P170" i="2"/>
  <c r="P169" i="2"/>
  <c r="P168" i="2"/>
  <c r="P167" i="2"/>
  <c r="P166" i="2"/>
  <c r="P165" i="2"/>
  <c r="P164" i="2"/>
  <c r="P163" i="2"/>
  <c r="P162" i="2"/>
  <c r="P161" i="2"/>
  <c r="P160" i="2"/>
  <c r="P159" i="2"/>
  <c r="P158" i="2"/>
  <c r="P157" i="2"/>
  <c r="P156" i="2"/>
  <c r="P155" i="2"/>
  <c r="P154" i="2"/>
  <c r="P153" i="2"/>
  <c r="P152" i="2"/>
  <c r="P151" i="2"/>
  <c r="P150" i="2"/>
  <c r="P149" i="2"/>
  <c r="P148" i="2"/>
  <c r="P147" i="2"/>
  <c r="P146" i="2"/>
  <c r="P145" i="2"/>
  <c r="P144" i="2"/>
  <c r="P143" i="2"/>
  <c r="P142" i="2"/>
  <c r="P141" i="2"/>
  <c r="P140" i="2"/>
  <c r="P139" i="2"/>
  <c r="P138" i="2"/>
  <c r="P137" i="2"/>
  <c r="P136" i="2"/>
  <c r="P135" i="2"/>
  <c r="P134" i="2"/>
  <c r="P133" i="2"/>
  <c r="P132" i="2"/>
  <c r="P131" i="2"/>
  <c r="P130" i="2"/>
  <c r="P129" i="2"/>
  <c r="P128" i="2"/>
  <c r="P127" i="2"/>
  <c r="P126" i="2"/>
  <c r="P125" i="2"/>
  <c r="P124" i="2"/>
  <c r="P123" i="2"/>
  <c r="P122" i="2"/>
  <c r="P121" i="2"/>
  <c r="P120" i="2"/>
  <c r="P119" i="2"/>
  <c r="P118" i="2"/>
  <c r="P117" i="2"/>
  <c r="P116" i="2"/>
  <c r="P115" i="2"/>
  <c r="P114" i="2"/>
  <c r="P113" i="2"/>
  <c r="P112" i="2"/>
  <c r="P111" i="2"/>
  <c r="P110" i="2"/>
  <c r="P109" i="2"/>
  <c r="P108" i="2"/>
  <c r="P107" i="2"/>
  <c r="P106" i="2"/>
  <c r="P105" i="2"/>
  <c r="P104" i="2"/>
  <c r="P103" i="2"/>
  <c r="P102" i="2"/>
  <c r="P101" i="2"/>
  <c r="P100" i="2"/>
  <c r="P99" i="2"/>
  <c r="P98" i="2"/>
  <c r="P97" i="2"/>
  <c r="P96" i="2"/>
  <c r="P95" i="2"/>
  <c r="P94" i="2"/>
  <c r="P93" i="2"/>
  <c r="P92" i="2"/>
  <c r="P91" i="2"/>
  <c r="P90" i="2"/>
  <c r="P89" i="2"/>
  <c r="P88" i="2"/>
  <c r="P87" i="2"/>
  <c r="P86" i="2"/>
  <c r="P85" i="2"/>
  <c r="P84" i="2"/>
  <c r="P83" i="2"/>
  <c r="P82" i="2"/>
  <c r="P81" i="2"/>
  <c r="P80" i="2"/>
  <c r="P79" i="2"/>
  <c r="P78" i="2"/>
  <c r="P77" i="2"/>
  <c r="P76" i="2"/>
  <c r="P75" i="2"/>
  <c r="P74" i="2"/>
  <c r="P73" i="2"/>
  <c r="P72" i="2"/>
  <c r="P71" i="2"/>
  <c r="P70" i="2"/>
  <c r="P69" i="2"/>
  <c r="P68" i="2"/>
  <c r="P67" i="2"/>
  <c r="P66" i="2"/>
  <c r="P65" i="2"/>
  <c r="P64" i="2"/>
  <c r="P63" i="2"/>
  <c r="P62" i="2"/>
  <c r="P61" i="2"/>
  <c r="P60" i="2"/>
  <c r="P59" i="2"/>
  <c r="P58" i="2"/>
  <c r="P57" i="2"/>
  <c r="P56" i="2"/>
  <c r="P55" i="2"/>
  <c r="P54" i="2"/>
  <c r="P53" i="2"/>
  <c r="P52" i="2"/>
  <c r="P51" i="2"/>
  <c r="P50" i="2"/>
  <c r="P49" i="2"/>
  <c r="P48" i="2"/>
  <c r="P47" i="2"/>
  <c r="P46" i="2"/>
  <c r="P45" i="2"/>
  <c r="P44" i="2"/>
  <c r="P43" i="2"/>
  <c r="P42" i="2"/>
  <c r="P41" i="2"/>
  <c r="P40" i="2"/>
  <c r="P39" i="2"/>
  <c r="P38" i="2"/>
  <c r="P37" i="2"/>
  <c r="Q36" i="2"/>
  <c r="R36" i="2" s="1"/>
  <c r="Q37" i="2" s="1"/>
  <c r="R37" i="2" s="1"/>
  <c r="Q38" i="2" s="1"/>
  <c r="R38" i="2" s="1"/>
  <c r="Q39" i="2" s="1"/>
  <c r="R39" i="2" s="1"/>
  <c r="Q40" i="2" s="1"/>
  <c r="R40" i="2" s="1"/>
  <c r="Q41" i="2" s="1"/>
  <c r="R41" i="2" s="1"/>
  <c r="Q42" i="2" s="1"/>
  <c r="R42" i="2" s="1"/>
  <c r="Q43" i="2" s="1"/>
  <c r="R43" i="2" s="1"/>
  <c r="Q44" i="2" s="1"/>
  <c r="R44" i="2" s="1"/>
  <c r="Q45" i="2" s="1"/>
  <c r="R45" i="2" s="1"/>
  <c r="Q46" i="2" s="1"/>
  <c r="R46" i="2" s="1"/>
  <c r="Q47" i="2" s="1"/>
  <c r="R47" i="2" s="1"/>
  <c r="Q48" i="2" s="1"/>
  <c r="R48" i="2" s="1"/>
  <c r="Q49" i="2" s="1"/>
  <c r="R49" i="2" s="1"/>
  <c r="Q50" i="2" s="1"/>
  <c r="R50" i="2" s="1"/>
  <c r="Q51" i="2" s="1"/>
  <c r="R51" i="2" s="1"/>
  <c r="Q52" i="2" s="1"/>
  <c r="R52" i="2" s="1"/>
  <c r="Q53" i="2" s="1"/>
  <c r="R53" i="2" s="1"/>
  <c r="Q54" i="2" s="1"/>
  <c r="R54" i="2" s="1"/>
  <c r="Q55" i="2" s="1"/>
  <c r="R55" i="2" s="1"/>
  <c r="Q56" i="2" s="1"/>
  <c r="R56" i="2" s="1"/>
  <c r="Q57" i="2" s="1"/>
  <c r="R57" i="2" s="1"/>
  <c r="Q58" i="2" s="1"/>
  <c r="R58" i="2" s="1"/>
  <c r="Q59" i="2" s="1"/>
  <c r="R59" i="2" s="1"/>
  <c r="Q60" i="2" s="1"/>
  <c r="R60" i="2" s="1"/>
  <c r="Q61" i="2" s="1"/>
  <c r="R61" i="2" s="1"/>
  <c r="Q62" i="2" s="1"/>
  <c r="R62" i="2" s="1"/>
  <c r="Q63" i="2" s="1"/>
  <c r="R63" i="2" s="1"/>
  <c r="Q64" i="2" s="1"/>
  <c r="R64" i="2" s="1"/>
  <c r="Q65" i="2" s="1"/>
  <c r="R65" i="2" s="1"/>
  <c r="Q66" i="2" s="1"/>
  <c r="R66" i="2" s="1"/>
  <c r="Q67" i="2" s="1"/>
  <c r="R67" i="2" s="1"/>
  <c r="Q68" i="2" s="1"/>
  <c r="R68" i="2" s="1"/>
  <c r="Q69" i="2" s="1"/>
  <c r="R69" i="2" s="1"/>
  <c r="Q70" i="2" s="1"/>
  <c r="R70" i="2" s="1"/>
  <c r="Q71" i="2" s="1"/>
  <c r="R71" i="2" s="1"/>
  <c r="Q72" i="2" s="1"/>
  <c r="R72" i="2" s="1"/>
  <c r="Q73" i="2" s="1"/>
  <c r="R73" i="2" s="1"/>
  <c r="Q74" i="2" s="1"/>
  <c r="R74" i="2" s="1"/>
  <c r="Q75" i="2" s="1"/>
  <c r="R75" i="2" s="1"/>
  <c r="Q76" i="2" s="1"/>
  <c r="R76" i="2" s="1"/>
  <c r="Q77" i="2" s="1"/>
  <c r="R77" i="2" s="1"/>
  <c r="Q78" i="2" s="1"/>
  <c r="R78" i="2" s="1"/>
  <c r="Q79" i="2" s="1"/>
  <c r="R79" i="2" s="1"/>
  <c r="Q80" i="2" s="1"/>
  <c r="R80" i="2" s="1"/>
  <c r="Q81" i="2" s="1"/>
  <c r="R81" i="2" s="1"/>
  <c r="Q82" i="2" s="1"/>
  <c r="R82" i="2" s="1"/>
  <c r="Q83" i="2" s="1"/>
  <c r="R83" i="2" s="1"/>
  <c r="Q84" i="2" s="1"/>
  <c r="R84" i="2" s="1"/>
  <c r="Q85" i="2" s="1"/>
  <c r="R85" i="2" s="1"/>
  <c r="Q86" i="2" s="1"/>
  <c r="R86" i="2" s="1"/>
  <c r="Q87" i="2" s="1"/>
  <c r="R87" i="2" s="1"/>
  <c r="Q88" i="2" s="1"/>
  <c r="R88" i="2" s="1"/>
  <c r="Q89" i="2" s="1"/>
  <c r="R89" i="2" s="1"/>
  <c r="Q90" i="2" s="1"/>
  <c r="R90" i="2" s="1"/>
  <c r="Q91" i="2" s="1"/>
  <c r="R91" i="2" s="1"/>
  <c r="Q92" i="2" s="1"/>
  <c r="R92" i="2" s="1"/>
  <c r="Q93" i="2" s="1"/>
  <c r="R93" i="2" s="1"/>
  <c r="Q94" i="2" s="1"/>
  <c r="R94" i="2" s="1"/>
  <c r="Q95" i="2" s="1"/>
  <c r="R95" i="2" s="1"/>
  <c r="Q96" i="2" s="1"/>
  <c r="R96" i="2" s="1"/>
  <c r="Q97" i="2" s="1"/>
  <c r="R97" i="2" s="1"/>
  <c r="Q98" i="2" s="1"/>
  <c r="R98" i="2" s="1"/>
  <c r="Q99" i="2" s="1"/>
  <c r="R99" i="2" s="1"/>
  <c r="Q100" i="2" s="1"/>
  <c r="R100" i="2" s="1"/>
  <c r="Q101" i="2" s="1"/>
  <c r="R101" i="2" s="1"/>
  <c r="Q102" i="2" s="1"/>
  <c r="R102" i="2" s="1"/>
  <c r="Q103" i="2" s="1"/>
  <c r="R103" i="2" s="1"/>
  <c r="Q104" i="2" s="1"/>
  <c r="R104" i="2" s="1"/>
  <c r="Q105" i="2" s="1"/>
  <c r="R105" i="2" s="1"/>
  <c r="Q106" i="2" s="1"/>
  <c r="R106" i="2" s="1"/>
  <c r="Q107" i="2" s="1"/>
  <c r="R107" i="2" s="1"/>
  <c r="Q108" i="2" s="1"/>
  <c r="R108" i="2" s="1"/>
  <c r="Q109" i="2" s="1"/>
  <c r="R109" i="2" s="1"/>
  <c r="Q110" i="2" s="1"/>
  <c r="R110" i="2" s="1"/>
  <c r="Q111" i="2" s="1"/>
  <c r="R111" i="2" s="1"/>
  <c r="Q112" i="2" s="1"/>
  <c r="R112" i="2" s="1"/>
  <c r="Q113" i="2" s="1"/>
  <c r="R113" i="2" s="1"/>
  <c r="Q114" i="2" s="1"/>
  <c r="R114" i="2" s="1"/>
  <c r="Q115" i="2" s="1"/>
  <c r="R115" i="2" s="1"/>
  <c r="Q116" i="2" s="1"/>
  <c r="R116" i="2" s="1"/>
  <c r="Q117" i="2" s="1"/>
  <c r="R117" i="2" s="1"/>
  <c r="Q118" i="2" s="1"/>
  <c r="R118" i="2" s="1"/>
  <c r="Q119" i="2" s="1"/>
  <c r="R119" i="2" s="1"/>
  <c r="Q120" i="2" s="1"/>
  <c r="R120" i="2" s="1"/>
  <c r="Q121" i="2" s="1"/>
  <c r="R121" i="2" s="1"/>
  <c r="Q122" i="2" s="1"/>
  <c r="R122" i="2" s="1"/>
  <c r="Q123" i="2" s="1"/>
  <c r="R123" i="2" s="1"/>
  <c r="Q124" i="2" s="1"/>
  <c r="R124" i="2" s="1"/>
  <c r="Q125" i="2" s="1"/>
  <c r="R125" i="2" s="1"/>
  <c r="Q126" i="2" s="1"/>
  <c r="R126" i="2" s="1"/>
  <c r="Q127" i="2" s="1"/>
  <c r="R127" i="2" s="1"/>
  <c r="Q128" i="2" s="1"/>
  <c r="R128" i="2" s="1"/>
  <c r="Q129" i="2" s="1"/>
  <c r="R129" i="2" s="1"/>
  <c r="Q130" i="2" s="1"/>
  <c r="R130" i="2" s="1"/>
  <c r="Q131" i="2" s="1"/>
  <c r="R131" i="2" s="1"/>
  <c r="Q132" i="2" s="1"/>
  <c r="R132" i="2" s="1"/>
  <c r="Q133" i="2" s="1"/>
  <c r="R133" i="2" s="1"/>
  <c r="Q134" i="2" s="1"/>
  <c r="R134" i="2" s="1"/>
  <c r="Q135" i="2" s="1"/>
  <c r="R135" i="2" s="1"/>
  <c r="Q136" i="2" s="1"/>
  <c r="R136" i="2" s="1"/>
  <c r="Q137" i="2" s="1"/>
  <c r="R137" i="2" s="1"/>
  <c r="Q138" i="2" s="1"/>
  <c r="R138" i="2" s="1"/>
  <c r="Q139" i="2" s="1"/>
  <c r="R139" i="2" s="1"/>
  <c r="Q140" i="2" s="1"/>
  <c r="R140" i="2" s="1"/>
  <c r="Q141" i="2" s="1"/>
  <c r="R141" i="2" s="1"/>
  <c r="Q142" i="2" s="1"/>
  <c r="R142" i="2" s="1"/>
  <c r="Q143" i="2" s="1"/>
  <c r="R143" i="2" s="1"/>
  <c r="Q144" i="2" s="1"/>
  <c r="R144" i="2" s="1"/>
  <c r="Q145" i="2" s="1"/>
  <c r="R145" i="2" s="1"/>
  <c r="Q146" i="2" s="1"/>
  <c r="R146" i="2" s="1"/>
  <c r="Q147" i="2" s="1"/>
  <c r="R147" i="2" s="1"/>
  <c r="Q148" i="2" s="1"/>
  <c r="R148" i="2" s="1"/>
  <c r="Q149" i="2" s="1"/>
  <c r="R149" i="2" s="1"/>
  <c r="Q150" i="2" s="1"/>
  <c r="R150" i="2" s="1"/>
  <c r="Q151" i="2" s="1"/>
  <c r="R151" i="2" s="1"/>
  <c r="Q152" i="2" s="1"/>
  <c r="R152" i="2" s="1"/>
  <c r="Q153" i="2" s="1"/>
  <c r="R153" i="2" s="1"/>
  <c r="Q154" i="2" s="1"/>
  <c r="R154" i="2" s="1"/>
  <c r="Q155" i="2" s="1"/>
  <c r="R155" i="2" s="1"/>
  <c r="Q156" i="2" s="1"/>
  <c r="R156" i="2" s="1"/>
  <c r="Q157" i="2" s="1"/>
  <c r="R157" i="2" s="1"/>
  <c r="Q158" i="2" s="1"/>
  <c r="R158" i="2" s="1"/>
  <c r="Q159" i="2" s="1"/>
  <c r="R159" i="2" s="1"/>
  <c r="Q160" i="2" s="1"/>
  <c r="R160" i="2" s="1"/>
  <c r="Q161" i="2" s="1"/>
  <c r="R161" i="2" s="1"/>
  <c r="Q162" i="2" s="1"/>
  <c r="R162" i="2" s="1"/>
  <c r="Q163" i="2" s="1"/>
  <c r="R163" i="2" s="1"/>
  <c r="Q164" i="2" s="1"/>
  <c r="R164" i="2" s="1"/>
  <c r="Q165" i="2" s="1"/>
  <c r="R165" i="2" s="1"/>
  <c r="Q166" i="2" s="1"/>
  <c r="R166" i="2" s="1"/>
  <c r="Q167" i="2" s="1"/>
  <c r="R167" i="2" s="1"/>
  <c r="Q168" i="2" s="1"/>
  <c r="R168" i="2" s="1"/>
  <c r="Q169" i="2" s="1"/>
  <c r="R169" i="2" s="1"/>
  <c r="Q170" i="2" s="1"/>
  <c r="R170" i="2" s="1"/>
  <c r="Q171" i="2" s="1"/>
  <c r="R171" i="2" s="1"/>
  <c r="Q172" i="2" s="1"/>
  <c r="R172" i="2" s="1"/>
  <c r="Q173" i="2" s="1"/>
  <c r="R173" i="2" s="1"/>
  <c r="Q174" i="2" s="1"/>
  <c r="R174" i="2" s="1"/>
  <c r="Q175" i="2" s="1"/>
  <c r="R175" i="2" s="1"/>
  <c r="Q176" i="2" s="1"/>
  <c r="R176" i="2" s="1"/>
  <c r="Q177" i="2" s="1"/>
  <c r="R177" i="2" s="1"/>
  <c r="Q178" i="2" s="1"/>
  <c r="R178" i="2" s="1"/>
  <c r="Q179" i="2" s="1"/>
  <c r="R179" i="2" s="1"/>
  <c r="Q180" i="2" s="1"/>
  <c r="R180" i="2" s="1"/>
  <c r="Q181" i="2" s="1"/>
  <c r="R181" i="2" s="1"/>
  <c r="Q182" i="2" s="1"/>
  <c r="R182" i="2" s="1"/>
  <c r="Q183" i="2" s="1"/>
  <c r="R183" i="2" s="1"/>
  <c r="Q184" i="2" s="1"/>
  <c r="R184" i="2" s="1"/>
  <c r="Q185" i="2" s="1"/>
  <c r="R185" i="2" s="1"/>
  <c r="Q186" i="2" s="1"/>
  <c r="R186" i="2" s="1"/>
  <c r="Q187" i="2" s="1"/>
  <c r="R187" i="2" s="1"/>
  <c r="Q188" i="2" s="1"/>
  <c r="R188" i="2" s="1"/>
  <c r="Q189" i="2" s="1"/>
  <c r="R189" i="2" s="1"/>
  <c r="Q190" i="2" s="1"/>
  <c r="R190" i="2" s="1"/>
  <c r="Q191" i="2" s="1"/>
  <c r="R191" i="2" s="1"/>
  <c r="Q192" i="2" s="1"/>
  <c r="R192" i="2" s="1"/>
  <c r="Q193" i="2" s="1"/>
  <c r="R193" i="2" s="1"/>
  <c r="Q194" i="2" s="1"/>
  <c r="R194" i="2" s="1"/>
  <c r="Q195" i="2" s="1"/>
  <c r="R195" i="2" s="1"/>
  <c r="Q196" i="2" s="1"/>
  <c r="R196" i="2" s="1"/>
  <c r="Q197" i="2" s="1"/>
  <c r="R197" i="2" s="1"/>
  <c r="Q198" i="2" s="1"/>
  <c r="R198" i="2" s="1"/>
  <c r="Q199" i="2" s="1"/>
  <c r="R199" i="2" s="1"/>
  <c r="Q200" i="2" s="1"/>
  <c r="R200" i="2" s="1"/>
  <c r="Q201" i="2" s="1"/>
  <c r="R201" i="2" s="1"/>
  <c r="Q202" i="2" s="1"/>
  <c r="R202" i="2" s="1"/>
  <c r="Q203" i="2" s="1"/>
  <c r="R203" i="2" s="1"/>
  <c r="Q204" i="2" s="1"/>
  <c r="R204" i="2" s="1"/>
  <c r="Q205" i="2" s="1"/>
  <c r="R205" i="2" s="1"/>
  <c r="Q206" i="2" s="1"/>
  <c r="R206" i="2" s="1"/>
  <c r="Q207" i="2" s="1"/>
  <c r="R207" i="2" s="1"/>
  <c r="Q208" i="2" s="1"/>
  <c r="R208" i="2" s="1"/>
  <c r="Q209" i="2" s="1"/>
  <c r="R209" i="2" s="1"/>
  <c r="Q210" i="2" s="1"/>
  <c r="R210" i="2" s="1"/>
  <c r="Q211" i="2" s="1"/>
  <c r="R211" i="2" s="1"/>
  <c r="Q212" i="2" s="1"/>
  <c r="R212" i="2" s="1"/>
  <c r="Q213" i="2" s="1"/>
  <c r="R213" i="2" s="1"/>
  <c r="Q214" i="2" s="1"/>
  <c r="R214" i="2" s="1"/>
  <c r="Q215" i="2" s="1"/>
  <c r="R215" i="2" s="1"/>
  <c r="Q216" i="2" s="1"/>
  <c r="R216" i="2" s="1"/>
  <c r="Q217" i="2" s="1"/>
  <c r="R217" i="2" s="1"/>
  <c r="Q218" i="2" s="1"/>
  <c r="R218" i="2" s="1"/>
  <c r="Q219" i="2" s="1"/>
  <c r="R219" i="2" s="1"/>
  <c r="Q220" i="2" s="1"/>
  <c r="R220" i="2" s="1"/>
  <c r="Q221" i="2" s="1"/>
  <c r="R221" i="2" s="1"/>
  <c r="Q222" i="2" s="1"/>
  <c r="R222" i="2" s="1"/>
  <c r="Q223" i="2" s="1"/>
  <c r="R223" i="2" s="1"/>
  <c r="Q224" i="2" s="1"/>
  <c r="R224" i="2" s="1"/>
  <c r="Q225" i="2" s="1"/>
  <c r="R225" i="2" s="1"/>
  <c r="Q226" i="2" s="1"/>
  <c r="R226" i="2" s="1"/>
  <c r="Q227" i="2" s="1"/>
  <c r="R227" i="2" s="1"/>
  <c r="Q228" i="2" s="1"/>
  <c r="R228" i="2" s="1"/>
  <c r="Q229" i="2" s="1"/>
  <c r="R229" i="2" s="1"/>
  <c r="Q230" i="2" s="1"/>
  <c r="R230" i="2" s="1"/>
  <c r="Q231" i="2" s="1"/>
  <c r="R231" i="2" s="1"/>
  <c r="Q232" i="2" s="1"/>
  <c r="R232" i="2" s="1"/>
  <c r="Q233" i="2" s="1"/>
  <c r="R233" i="2" s="1"/>
  <c r="Q234" i="2" s="1"/>
  <c r="R234" i="2" s="1"/>
  <c r="Q235" i="2" s="1"/>
  <c r="R235" i="2" s="1"/>
  <c r="Q236" i="2" s="1"/>
  <c r="R236" i="2" s="1"/>
  <c r="Q237" i="2" s="1"/>
  <c r="R237" i="2" s="1"/>
  <c r="Q238" i="2" s="1"/>
  <c r="R238" i="2" s="1"/>
  <c r="Q239" i="2" s="1"/>
  <c r="R239" i="2" s="1"/>
  <c r="Q240" i="2" s="1"/>
  <c r="R240" i="2" s="1"/>
  <c r="Q241" i="2" s="1"/>
  <c r="R241" i="2" s="1"/>
  <c r="Q242" i="2" s="1"/>
  <c r="R242" i="2" s="1"/>
  <c r="Q243" i="2" s="1"/>
  <c r="R243" i="2" s="1"/>
  <c r="Q244" i="2" s="1"/>
  <c r="R244" i="2" s="1"/>
  <c r="Q245" i="2" s="1"/>
  <c r="R245" i="2" s="1"/>
  <c r="Q246" i="2" s="1"/>
  <c r="R246" i="2" s="1"/>
  <c r="Q247" i="2" s="1"/>
  <c r="R247" i="2" s="1"/>
  <c r="Q248" i="2" s="1"/>
  <c r="R248" i="2" s="1"/>
  <c r="Q249" i="2" s="1"/>
  <c r="R249" i="2" s="1"/>
  <c r="Q250" i="2" s="1"/>
  <c r="R250" i="2" s="1"/>
  <c r="Q251" i="2" s="1"/>
  <c r="R251" i="2" s="1"/>
  <c r="Q252" i="2" s="1"/>
  <c r="R252" i="2" s="1"/>
  <c r="Q253" i="2" s="1"/>
  <c r="R253" i="2" s="1"/>
  <c r="Q254" i="2" s="1"/>
  <c r="R254" i="2" s="1"/>
  <c r="Q255" i="2" s="1"/>
  <c r="R255" i="2" s="1"/>
  <c r="Q256" i="2" s="1"/>
  <c r="R256" i="2" s="1"/>
  <c r="Q257" i="2" s="1"/>
  <c r="R257" i="2" s="1"/>
  <c r="Q258" i="2" s="1"/>
  <c r="R258" i="2" s="1"/>
  <c r="Q259" i="2" s="1"/>
  <c r="R259" i="2" s="1"/>
  <c r="Q260" i="2" s="1"/>
  <c r="R260" i="2" s="1"/>
  <c r="Q261" i="2" s="1"/>
  <c r="R261" i="2" s="1"/>
  <c r="Q262" i="2" s="1"/>
  <c r="R262" i="2" s="1"/>
  <c r="Q263" i="2" s="1"/>
  <c r="R263" i="2" s="1"/>
  <c r="Q264" i="2" s="1"/>
  <c r="R264" i="2" s="1"/>
  <c r="Q265" i="2" s="1"/>
  <c r="R265" i="2" s="1"/>
  <c r="Q266" i="2" s="1"/>
  <c r="R266" i="2" s="1"/>
  <c r="Q267" i="2" s="1"/>
  <c r="R267" i="2" s="1"/>
  <c r="Q268" i="2" s="1"/>
  <c r="R268" i="2" s="1"/>
  <c r="Q269" i="2" s="1"/>
  <c r="R269" i="2" s="1"/>
  <c r="Q270" i="2" s="1"/>
  <c r="R270" i="2" s="1"/>
  <c r="Q271" i="2" s="1"/>
  <c r="R271" i="2" s="1"/>
  <c r="Q272" i="2" s="1"/>
  <c r="R272" i="2" s="1"/>
  <c r="Q273" i="2" s="1"/>
  <c r="R273" i="2" s="1"/>
  <c r="Q274" i="2" s="1"/>
  <c r="R274" i="2" s="1"/>
  <c r="Q275" i="2" s="1"/>
  <c r="R275" i="2" s="1"/>
  <c r="Q276" i="2" s="1"/>
  <c r="R276" i="2" s="1"/>
  <c r="Q277" i="2" s="1"/>
  <c r="R277" i="2" s="1"/>
  <c r="Q278" i="2" s="1"/>
  <c r="R278" i="2" s="1"/>
  <c r="Q279" i="2" s="1"/>
  <c r="R279" i="2" s="1"/>
  <c r="Q280" i="2" s="1"/>
  <c r="R280" i="2" s="1"/>
  <c r="Q281" i="2" s="1"/>
  <c r="R281" i="2" s="1"/>
  <c r="Q282" i="2" s="1"/>
  <c r="R282" i="2" s="1"/>
  <c r="Q283" i="2" s="1"/>
  <c r="R283" i="2" s="1"/>
  <c r="Q284" i="2" s="1"/>
  <c r="R284" i="2" s="1"/>
  <c r="Q285" i="2" s="1"/>
  <c r="R285" i="2" s="1"/>
  <c r="Q286" i="2" s="1"/>
  <c r="R286" i="2" s="1"/>
  <c r="Q287" i="2" s="1"/>
  <c r="R287" i="2" s="1"/>
  <c r="Q288" i="2" s="1"/>
  <c r="R288" i="2" s="1"/>
  <c r="Q289" i="2" s="1"/>
  <c r="R289" i="2" s="1"/>
  <c r="Q290" i="2" s="1"/>
  <c r="R290" i="2" s="1"/>
  <c r="Q291" i="2" s="1"/>
  <c r="R291" i="2" s="1"/>
  <c r="Q292" i="2" s="1"/>
  <c r="R292" i="2" s="1"/>
  <c r="Q293" i="2" s="1"/>
  <c r="R293" i="2" s="1"/>
  <c r="Q294" i="2" s="1"/>
  <c r="R294" i="2" s="1"/>
  <c r="Q295" i="2" s="1"/>
  <c r="R295" i="2" s="1"/>
  <c r="P36" i="2"/>
  <c r="P35" i="2"/>
  <c r="P34" i="2"/>
  <c r="P33" i="2"/>
  <c r="P32" i="2"/>
  <c r="P31" i="2"/>
  <c r="P30" i="2"/>
  <c r="P29" i="2"/>
  <c r="P28" i="2"/>
  <c r="P27" i="2"/>
  <c r="P26" i="2"/>
  <c r="P25" i="2"/>
  <c r="P24" i="2"/>
  <c r="P23" i="2"/>
  <c r="P22" i="2"/>
  <c r="P21" i="2"/>
  <c r="P20" i="2"/>
  <c r="P19" i="2"/>
  <c r="P18" i="2"/>
  <c r="P17" i="2"/>
  <c r="P16" i="2"/>
  <c r="P15" i="2"/>
  <c r="P14" i="2"/>
  <c r="P13" i="2"/>
  <c r="P12" i="2"/>
  <c r="P11" i="2"/>
  <c r="P10" i="2"/>
  <c r="P9" i="2"/>
  <c r="P8" i="2"/>
  <c r="P7" i="2"/>
  <c r="P6" i="2"/>
  <c r="P5" i="2"/>
  <c r="P4" i="2"/>
  <c r="P3" i="2"/>
  <c r="P2" i="2"/>
  <c r="R2" i="2" s="1"/>
  <c r="Q3" i="2" s="1"/>
  <c r="R3" i="2" s="1"/>
  <c r="Q4" i="2" s="1"/>
  <c r="R4" i="2" s="1"/>
  <c r="Q5" i="2" s="1"/>
  <c r="R5" i="2" s="1"/>
  <c r="Q6" i="2" s="1"/>
  <c r="R6" i="2" s="1"/>
  <c r="Q7" i="2" s="1"/>
  <c r="R7" i="2" s="1"/>
  <c r="Q8" i="2" s="1"/>
  <c r="R8" i="2" s="1"/>
  <c r="Q9" i="2" s="1"/>
  <c r="R9" i="2" s="1"/>
  <c r="Q10" i="2" s="1"/>
  <c r="R10" i="2" s="1"/>
  <c r="Q11" i="2" s="1"/>
  <c r="R11" i="2" s="1"/>
  <c r="Q12" i="2" s="1"/>
  <c r="R12" i="2" s="1"/>
  <c r="Q13" i="2" s="1"/>
  <c r="R13" i="2" s="1"/>
  <c r="Q14" i="2" s="1"/>
  <c r="R14" i="2" s="1"/>
  <c r="Q15" i="2" s="1"/>
  <c r="R15" i="2" s="1"/>
  <c r="Q16" i="2" s="1"/>
  <c r="R16" i="2" s="1"/>
  <c r="Q17" i="2" s="1"/>
  <c r="R17" i="2" s="1"/>
  <c r="Q18" i="2" s="1"/>
  <c r="R18" i="2" s="1"/>
  <c r="Q19" i="2" s="1"/>
  <c r="R19" i="2" s="1"/>
  <c r="Q20" i="2" s="1"/>
  <c r="R20" i="2" s="1"/>
  <c r="Q21" i="2" s="1"/>
  <c r="R21" i="2" s="1"/>
  <c r="Q22" i="2" s="1"/>
  <c r="R22" i="2" s="1"/>
  <c r="Q23" i="2" s="1"/>
  <c r="R23" i="2" s="1"/>
  <c r="Q24" i="2" s="1"/>
  <c r="R24" i="2" s="1"/>
  <c r="Q25" i="2" s="1"/>
  <c r="R25" i="2" s="1"/>
  <c r="Q26" i="2" s="1"/>
  <c r="R26" i="2" s="1"/>
  <c r="Q27" i="2" s="1"/>
  <c r="R27" i="2" s="1"/>
  <c r="Q28" i="2" s="1"/>
  <c r="R28" i="2" s="1"/>
  <c r="Q29" i="2" s="1"/>
  <c r="R29" i="2" s="1"/>
  <c r="Q30" i="2" s="1"/>
  <c r="R30" i="2" s="1"/>
  <c r="Q31" i="2" s="1"/>
  <c r="R31" i="2" s="1"/>
  <c r="Q32" i="2" s="1"/>
  <c r="R32" i="2" s="1"/>
  <c r="Q33" i="2" s="1"/>
  <c r="R33" i="2" s="1"/>
  <c r="Q34" i="2" s="1"/>
  <c r="R34" i="2" s="1"/>
  <c r="Q35" i="2" s="1"/>
</calcChain>
</file>

<file path=xl/sharedStrings.xml><?xml version="1.0" encoding="utf-8"?>
<sst xmlns="http://schemas.openxmlformats.org/spreadsheetml/2006/main" count="5307" uniqueCount="3585">
  <si>
    <t>Prueba técnica RPA + Java</t>
  </si>
  <si>
    <t>Objetivo de la prueba</t>
  </si>
  <si>
    <t>Desarrollar una automatización en Java que mediante una esctructura dada en excel genere como salida un archivo plano .txt con todas y cada una de las caracateristicas dadas (Tipos de campo, longitudes, reglas de negocio, listas de referencia), la automatización debe hacer uso de BDD Gherkin para la generación de los archivos de salida con N registros.</t>
  </si>
  <si>
    <t>Escenario funcional</t>
  </si>
  <si>
    <t>Una empresa tiene una estructura X que requiere generar mediante un archivo plano para su posteriro procesamiento, el archivo de salida debe ser un .txt sin separadores</t>
  </si>
  <si>
    <t>La automatización debe:</t>
  </si>
  <si>
    <t>Leer cada uno de los parámetros de entrada de cada uno de los campos descritos en el excel de estructura.</t>
  </si>
  <si>
    <t>Generar la logica de negocio incluida en el archivo de excel (el campo no puede ir vacío, no puede recibir caracteres especiales, etc).</t>
  </si>
  <si>
    <t>Generar la cantidad de registros parametrizada en el .feature respetando la estructura inicial el excel (Tipos de campo, longitudes, reglas de negocio, listas de referencia).</t>
  </si>
  <si>
    <t>No. Campo</t>
  </si>
  <si>
    <t>Nombre del campo</t>
  </si>
  <si>
    <t>Descripción del campo</t>
  </si>
  <si>
    <t>Tipo de campo ()</t>
  </si>
  <si>
    <t>Longitud del campo (i.e, 3) ()</t>
  </si>
  <si>
    <t>Obligatoriedad ()</t>
  </si>
  <si>
    <t>Regla de negocio a aplicar ()</t>
  </si>
  <si>
    <t>Proviene de listado de referencias ()</t>
  </si>
  <si>
    <t>Nombre de la lista de referencia ()</t>
  </si>
  <si>
    <t>Validaciones</t>
  </si>
  <si>
    <t>Tener en cuenta</t>
  </si>
  <si>
    <t>TIPO</t>
  </si>
  <si>
    <t>Datos aceptados por campo</t>
  </si>
  <si>
    <t>ENTEROS</t>
  </si>
  <si>
    <t>DECIMALES</t>
  </si>
  <si>
    <t>LONGITUD</t>
  </si>
  <si>
    <t>INICIO</t>
  </si>
  <si>
    <t>FIN</t>
  </si>
  <si>
    <t>VALIDACIONES Y FORMATO</t>
  </si>
  <si>
    <t>NUMPRESTA-IN</t>
  </si>
  <si>
    <t xml:space="preserve">Número del préstamo en </t>
  </si>
  <si>
    <t>ALFANUMERICO</t>
  </si>
  <si>
    <t>SI</t>
  </si>
  <si>
    <t>Ajustar el campo a 14 posiciones, ddebe permitir letras y numeros.
ERROR CARACTERES</t>
  </si>
  <si>
    <t>14</t>
  </si>
  <si>
    <t>1</t>
  </si>
  <si>
    <t xml:space="preserve">Enviar el numero de credito de la entidad externa. 
</t>
  </si>
  <si>
    <t>TIPIDECLI-IN</t>
  </si>
  <si>
    <t>Tipo de Identificacion del deudor</t>
  </si>
  <si>
    <t xml:space="preserve">C Cédula Ciudadanía                   
E Cédula Extranjería                              
I Nit de Extranjería                      
J Nit Persona Jurídica                    
L Nit Persona Natural
P Pasaporte                          
R Registro Civil                                        
T Tarjeta de Identidad      </t>
  </si>
  <si>
    <t>Tipo de Identificacion de cliente</t>
  </si>
  <si>
    <t>TIP ID CLIENTE</t>
  </si>
  <si>
    <t>Si llega un dato diferente de los que se encuentra en la columna J, generar mensaje de error.
CODIGO INVALIDO</t>
  </si>
  <si>
    <t xml:space="preserve">C Cédula Ciudadanía                   
E Cédula Extranjería                              
I Nit de Extranjería                      
J Nit Persona Jurídica                    
L Nit Persona Natural                                                              
P Pasaporte                                            
R Registro Civil                                        
T Tarjeta de Identidad      </t>
  </si>
  <si>
    <t>DOCIDEPRE-IN</t>
  </si>
  <si>
    <t>Identificacion del deudor</t>
  </si>
  <si>
    <t>NUMERICO</t>
  </si>
  <si>
    <t xml:space="preserve">
Diferente de Cero</t>
  </si>
  <si>
    <t>Si llega con caracteres diferentes a numerico o en cero generar mensaje de error. 
ERROR CARACTERES</t>
  </si>
  <si>
    <t>Rellenar con ceros a la izquierda</t>
  </si>
  <si>
    <t>NOMBRECLI-IN</t>
  </si>
  <si>
    <t>Nombre completo del cliente</t>
  </si>
  <si>
    <t xml:space="preserve">
No debe tener caracteres especiales como tildes, porcentaje, ñ, entre otros.
Se debe alinear a la izquierda con espacios a la derecha
Diferente de Espacio</t>
  </si>
  <si>
    <t>El nombre no debe tener caracteres especiales, de lo contrario generar mensaje de error. El unico valor permitido es punto (.)
CON CARACTERES ESPECIALES</t>
  </si>
  <si>
    <t xml:space="preserve">
Diferente de Espacio</t>
  </si>
  <si>
    <t>No debe tener caracteres especiales como tildes, porcentaje, ñ, entre otros.
Se debe alinear a la izquierda con espacios a la derecha</t>
  </si>
  <si>
    <t>SIGCLI-IN</t>
  </si>
  <si>
    <t>Nombre corto del cliente</t>
  </si>
  <si>
    <t>No debe tener caracteres especiales como tildes, porcentaje, ñ, entre otros.</t>
  </si>
  <si>
    <t>DIRCLI-IN</t>
  </si>
  <si>
    <t>Dirección fisica del cliente</t>
  </si>
  <si>
    <t xml:space="preserve">
Se puede enviar la direccion de residencia del cliente.
No debe tener caracteres especiales como tildes, porcentaje, ñ, entre otros.
Se debe alinear a la izquierda con espacios a la derecha
Ej: Calle 75 No 87 87 Apt 1011
Diferente de Espacio</t>
  </si>
  <si>
    <t>La dirección no debe tener caracteres especiales, de lo contrario generar mensaje de error. El unico valor permitido es punto (.)
CON CARACTERES ESPECIALES</t>
  </si>
  <si>
    <r>
      <t xml:space="preserve">Se puede enviar la direccion de residencia del cliente.
No debe tener caracteres especiales como tildes, porcentaje, ñ, entre otros.
Se debe alinear a la izquierda con espacios a la derecha
Ej: </t>
    </r>
    <r>
      <rPr>
        <b/>
        <sz val="11"/>
        <rFont val="Calibri"/>
        <family val="2"/>
        <scheme val="minor"/>
      </rPr>
      <t>Calle 75 No 87 87 Apt 1011</t>
    </r>
  </si>
  <si>
    <t>TELCLI-IN</t>
  </si>
  <si>
    <t>Telefono del cliente</t>
  </si>
  <si>
    <t>NO</t>
  </si>
  <si>
    <t>Puede aceptar ceros.
VALOR INVALIDO</t>
  </si>
  <si>
    <t>CIUCLI-IN</t>
  </si>
  <si>
    <t>Código DANE de la ubicación del cliente en 8 posiciones</t>
  </si>
  <si>
    <t xml:space="preserve">Este campo siempre debe contener caracteres  numéricos. Este código debe ser un dato valido de acuerdo con la información DANE
Para Bogota se debe reportar 11001. 
</t>
  </si>
  <si>
    <t>CODIGO DANE INVALIDO</t>
  </si>
  <si>
    <t>Enviar el código Dane de la ciudad de radicación del cliente</t>
  </si>
  <si>
    <t>Este campo siempre debe contener caracteres  numéricos. Este código debe ser un dato valido de acuerdo con la información DANE
Para Bogota se debe reportar 11001. 
Validar anexo (Codigo Dane)</t>
  </si>
  <si>
    <t>CODOFI-IN</t>
  </si>
  <si>
    <t>Segmentación del cliente en el . (segmento de modelo de atención)</t>
  </si>
  <si>
    <t>Este código será informado por el Entidad, corresponde al segmento de modelo de atención.
Diferente a cero</t>
  </si>
  <si>
    <t>Pte que  realice la segmentación de los clientes.</t>
  </si>
  <si>
    <t>Asignacion_Comercial</t>
  </si>
  <si>
    <t>CODIGO OFICINA INVALIDO</t>
  </si>
  <si>
    <t>Validar el numero de identificación del cliente VS el anexo (segmentacón del cliente)
Diferente a cero</t>
  </si>
  <si>
    <t>Este código será informado por el Entidad, corresponde al segmento de modelo de atención.</t>
  </si>
  <si>
    <t>CODLINCRE-IN</t>
  </si>
  <si>
    <t xml:space="preserve">Código de la Linea de Credito
Validar anexo (Lineas , columna verde)
</t>
  </si>
  <si>
    <t xml:space="preserve">
Código de línea de crédito , Vs código de línea .
Diferente a cero</t>
  </si>
  <si>
    <t xml:space="preserve">Lineas  vs Lineas </t>
  </si>
  <si>
    <t xml:space="preserve">LINEAS </t>
  </si>
  <si>
    <t>Cuando venga una linea diferente a los del anexo (Lineas ), generar mensaje de error.
LINEA ERRADA</t>
  </si>
  <si>
    <t xml:space="preserve">
Diferente a cero</t>
  </si>
  <si>
    <t>Validar anexo (Lineas , columna verde)
* Este código será informado por el Entidad
ej: Para libranza enviar 131</t>
  </si>
  <si>
    <t>MODINTCTE-IN</t>
  </si>
  <si>
    <t>Modalidad de Causación de Intereses Corrientes</t>
  </si>
  <si>
    <t xml:space="preserve">Siempre enviar V 
</t>
  </si>
  <si>
    <t>TIPO MODALIDAD INVALIDO</t>
  </si>
  <si>
    <t>V - Vencido</t>
  </si>
  <si>
    <t>TIPOTASA-IN</t>
  </si>
  <si>
    <t>Tipo tasa</t>
  </si>
  <si>
    <t>Enviar D, cuando es tasa variable (DTF, IBR, IPC)
Enviar F, cuando es tasa fija.
D. Variable                                 
F. Fija</t>
  </si>
  <si>
    <t>TIPO TASA INVALIDO</t>
  </si>
  <si>
    <r>
      <t xml:space="preserve">Asociado al campo </t>
    </r>
    <r>
      <rPr>
        <b/>
        <sz val="11"/>
        <color theme="1"/>
        <rFont val="Calibri"/>
        <family val="2"/>
        <scheme val="minor"/>
      </rPr>
      <t xml:space="preserve">PORINTCOR-IN </t>
    </r>
    <r>
      <rPr>
        <sz val="11"/>
        <color theme="1"/>
        <rFont val="Calibri"/>
        <family val="2"/>
        <scheme val="minor"/>
      </rPr>
      <t xml:space="preserve">y </t>
    </r>
    <r>
      <rPr>
        <b/>
        <sz val="11"/>
        <color theme="1"/>
        <rFont val="Calibri"/>
        <family val="2"/>
        <scheme val="minor"/>
      </rPr>
      <t>PORCTECAU-IN</t>
    </r>
  </si>
  <si>
    <t>D. Variable                                 
F. Fija</t>
  </si>
  <si>
    <t>Enviar D, cuando es tasa variable (DTF, IBR, IPC)
Enviar F, cuando es tasa fija.</t>
  </si>
  <si>
    <t>TASDINAM-IN</t>
  </si>
  <si>
    <t>Se envia si tipo tasa.</t>
  </si>
  <si>
    <t>Si en el campo tipo tasa es D - debe ir D, E, I, B, R
Si en el campo tipo tasa es F - debe ir X
D. DTF TA                                             
E. DTF EA
X: TASA Fija  
I - IBR MES 
B - IBR Trimestral 
R - IBR Semestral</t>
  </si>
  <si>
    <t>Codigo tipo de tasa variable o fija</t>
  </si>
  <si>
    <t>COD TIP TASA</t>
  </si>
  <si>
    <t>Ajustar tasa fija, donde el valor permitido es X.
TIPO TASA NO COINCIDE</t>
  </si>
  <si>
    <t>D. DTF TA                                             
E. DTF EA                                  
X: TASA Fija  
I - IBR MES 
B - IBR Trimestral 
R - IBR Semestral</t>
  </si>
  <si>
    <t>Si en el campo TIPOTASA-IN es D - debe ir D, E, I, B, R
Si en el campo TIPOTASA-IN es F - debe ir X</t>
  </si>
  <si>
    <t>TIPCUOTA-IN</t>
  </si>
  <si>
    <t>Tipo de cuota</t>
  </si>
  <si>
    <t>Si el tipo de tasa es F - Fija, la cuota debe ser F.
Si el tipo de tasa es D - Variable, la cuota debe ser V.
F. Cuota Fija                                 
V. Variable</t>
  </si>
  <si>
    <t>TIPO CUOTA NO COINCIDE</t>
  </si>
  <si>
    <t>Asociados a los campos 17, 18 y los campos 171 al 186</t>
  </si>
  <si>
    <t>F. Cuota Fija                                 
V. Variable</t>
  </si>
  <si>
    <t>Si el tipo de tasa TIPOTASA-IN es F - Fija, la cuota debe ser F.
Si el tipo de tasa TIPOTASA-IN es D - Variable, la cuota debe ser V.</t>
  </si>
  <si>
    <t>CLASECAR-IN</t>
  </si>
  <si>
    <t>Clase de Cartera</t>
  </si>
  <si>
    <t>Dependiento de la linea registrado en el campo código de linea del producto  se debe definir la clase de cartera de acuerdo al anexo Lineas , columna CLASE_CARTERA))
C: Comercial
O: Consumo
H: Hipotecaria
M: Microcrédito</t>
  </si>
  <si>
    <t>CLASE CARTERA ERRADA</t>
  </si>
  <si>
    <t>C: Comercial
O: Consumo
H: Hipotecaria
M: Microcrédito</t>
  </si>
  <si>
    <t>Dependiento de la linea registrado en el campo CODLINCRE-IN  se debe definir la clase de cartera de acuerdo al anexo Lineas , columna CLASE_CARTERA))</t>
  </si>
  <si>
    <t>NITEMPCON-IN</t>
  </si>
  <si>
    <t xml:space="preserve">Número de Convenio. </t>
  </si>
  <si>
    <t xml:space="preserve">Cuando es Libranza (Linea 131), en este campo se debe diligenciar número de convenio. (anexo convenios).
* Este código será informado por el Entidad
* Para las demas lineas enviar ceros
Default Ceros
</t>
  </si>
  <si>
    <t>CONVENIOS</t>
  </si>
  <si>
    <t>NUM CONVENIO INVALIDO</t>
  </si>
  <si>
    <t>Default Ceros</t>
  </si>
  <si>
    <t xml:space="preserve">Numero con el que se identifica el convenio de libranza en el .
Cuando es Libranza en el campo CODLINCRE-IN, se relaciona 131, en este campo se debe diligenciar numero de convenio. (anexo convenios)
* Este código será informado por el Entidad
* Para las demas lineas enviar ceros
</t>
  </si>
  <si>
    <t>FORMPACAP-IN</t>
  </si>
  <si>
    <t>Forma de pago del Capital</t>
  </si>
  <si>
    <t>Si el campo tipo cuota es F, este campo y el campo forma pago interés deben ser iguales.
Si el campo tipo cuota es V - se debe registrar la opción de pago del capital de acuerdo con las condiciones
01 Mensual                                         
02 Bimestral
03 Trimestral
04 Cuatrimestral
05 única (Al vencimiento)
06 Semestral
12 Anual</t>
  </si>
  <si>
    <t>Amortización de pago de las obligaciones</t>
  </si>
  <si>
    <t>FORM PAG K + I</t>
  </si>
  <si>
    <t>Este mensaje de error aplica solo cuando en el campo TIPCUOTA-IN es F - Cuota Fija.
"AMORTIZACION ERRADA"</t>
  </si>
  <si>
    <t>Asociados a los campos 171 al 186</t>
  </si>
  <si>
    <r>
      <t>01</t>
    </r>
    <r>
      <rPr>
        <sz val="11"/>
        <rFont val="Calibri"/>
        <family val="2"/>
        <scheme val="minor"/>
      </rPr>
      <t xml:space="preserve"> Mensual                                         
02 Bimestral
03 Trimestral
04 Cuatrimestral
05 Unica (Al vencimiento)
06 Semestral
12 Anual</t>
    </r>
  </si>
  <si>
    <t xml:space="preserve">Si el campo 14 (TIPCUOTA-IN) es F, este campo y el campo 18 (FORMPAINT-IN) deben ser iguales.
Si el campo 14 (TIPCUOTA-IN) es V - se debe registrar la opción de pago del capital de acuerdo con las condiciones
</t>
  </si>
  <si>
    <t>FORMPAINT-IN</t>
  </si>
  <si>
    <t>Forma de pago de intereses</t>
  </si>
  <si>
    <t>2</t>
  </si>
  <si>
    <t>Si el campo tipo cuota es F, este campo y el campo forma pago capital deben ser iguales.
Si el campo tipo cuota es V - se debe registrar la opción de pago del interés de acuerdo con las condiciones
01 Mensual                                         
02 Bimestral
03 Trimestral
04 Cuatrimestral
05 única (Al vencimiento)
06 Semestral
12 Anual</t>
  </si>
  <si>
    <t>Este mensaje de error aplica solo cuando en el campo 14-TIPCUOTA-IN es F - Cuota Fija.
"AMORTIZACION ERRADA"</t>
  </si>
  <si>
    <t xml:space="preserve">Si el campo 14 (TIPCUOTA-IN) es F, este campo y el campo 17 (FORMPACAP-IN)  deben ser iguales.
Si el campo 14 (TIPCUOTA-IN) es V - se debe registrar la opción de pago de interes de acuerdo con las condiciones
</t>
  </si>
  <si>
    <t>SIGPI-CTE</t>
  </si>
  <si>
    <t>Signo Porcentaje Interes Corriente Pactado del crédito</t>
  </si>
  <si>
    <t xml:space="preserve">Siempre registrar el signo +  </t>
  </si>
  <si>
    <t>SIGNO ERRADO</t>
  </si>
  <si>
    <t xml:space="preserve">(+) Positivo                                 </t>
  </si>
  <si>
    <t>PORINTCOR-IN</t>
  </si>
  <si>
    <t>Para tasa Fija: Valor de la tasa corriente con la que se desembolso el credito en términos nominales vencidos anuales. 
Para tasa Variable: Enviar el spread</t>
  </si>
  <si>
    <t>2,5</t>
  </si>
  <si>
    <t>Tres (3) Enteros y cinco (5) decimales, sin separador de decimales Ejemplo: 04200000
Para tasa fija: Si no se cuenta con la tasa original, enviar la tasa actual a excepción de vivienda.
Para tasa variable: Siempre debe enviar el spread.
Diferente de Cero</t>
  </si>
  <si>
    <t>TASA EN CERO</t>
  </si>
  <si>
    <t>Diferente de Cero</t>
  </si>
  <si>
    <r>
      <t xml:space="preserve">Tres (3) Enteros y cinco (5) decimales, sin separador de decimales Ejemplo: 04200000
</t>
    </r>
    <r>
      <rPr>
        <b/>
        <sz val="11"/>
        <rFont val="Calibri"/>
        <family val="2"/>
        <scheme val="minor"/>
      </rPr>
      <t>Para tasa fija:</t>
    </r>
    <r>
      <rPr>
        <sz val="11"/>
        <rFont val="Calibri"/>
        <family val="2"/>
        <scheme val="minor"/>
      </rPr>
      <t xml:space="preserve"> Si no se cuenta con la tasa original, enviar la tasa actual a excepción de vivienda.
</t>
    </r>
    <r>
      <rPr>
        <b/>
        <sz val="11"/>
        <rFont val="Calibri"/>
        <family val="2"/>
        <scheme val="minor"/>
      </rPr>
      <t>Para tasa variable</t>
    </r>
    <r>
      <rPr>
        <sz val="11"/>
        <rFont val="Calibri"/>
        <family val="2"/>
        <scheme val="minor"/>
      </rPr>
      <t>: Siempre debe enviar el spread actual.</t>
    </r>
  </si>
  <si>
    <t>PORINTMOR-IN</t>
  </si>
  <si>
    <t>Porcentaje interes de mora con la que se desembolso el credito el crédito en términos nominales vencidos anuales</t>
  </si>
  <si>
    <t>3,5</t>
  </si>
  <si>
    <t>Tres (3) Enteros y cinco (5) decimales, sin separador de decimales Ejemplo: 04200000
* Si no se cuenta con la tasa original, enviar la tasa actual a excepción de vivienda.
Diferente de Cero</t>
  </si>
  <si>
    <t>Tres (3) Enteros y cinco (5) decimales, sin separador de decimales Ejemplo: 04200000
* Si no se cuenta con la tasa original, enviar la tasa actual a excepción de vivienda.</t>
  </si>
  <si>
    <t>PORCTECAU-IN</t>
  </si>
  <si>
    <t>Tasa corriente actual con la que se esta causando en términos nominales vencidos anuales</t>
  </si>
  <si>
    <t xml:space="preserve">Tres (3) Enteros y cinco (5) decimales, sin separador de decimales Ejemplo: 04200000
Para tasa variable: Se debe registrar la tasa nominal, con la que esta causando el crédito en el momento de la migración.
</t>
  </si>
  <si>
    <t>Enviar tasa de interés del crédito</t>
  </si>
  <si>
    <r>
      <t xml:space="preserve">Tres (3) Enteros y cinco (5) decimales, sin separador de decimales Ejemplo: 04200000
</t>
    </r>
    <r>
      <rPr>
        <b/>
        <sz val="11"/>
        <rFont val="Calibri"/>
        <family val="2"/>
        <scheme val="minor"/>
      </rPr>
      <t>Para tasa variable:</t>
    </r>
    <r>
      <rPr>
        <sz val="11"/>
        <rFont val="Calibri"/>
        <family val="2"/>
        <scheme val="minor"/>
      </rPr>
      <t xml:space="preserve"> Se debe registrar la tasa nominal, con la que esta causando el credito en el momento de la migración.
</t>
    </r>
  </si>
  <si>
    <t>PORMORCAU-IN</t>
  </si>
  <si>
    <t>Tasa de mora actual con la que se esta causando en términos nominales vencidos anuales</t>
  </si>
  <si>
    <t xml:space="preserve">Tres (3) Enteros y cinco (5) decimales, sin separador de decimales Ejemplo: 04200000
</t>
  </si>
  <si>
    <t>Enviar tasa de mora del crédito</t>
  </si>
  <si>
    <t xml:space="preserve">Tres (3) Enteros y cinco (5) decimales, sin separador de decimales Ejemplo: 04200000
</t>
  </si>
  <si>
    <t>FACTLCTE-IN</t>
  </si>
  <si>
    <t>Factor base para liquidación de interes corriente</t>
  </si>
  <si>
    <t>Base de liquidación con la que esta causando
(Anexo Bases)</t>
  </si>
  <si>
    <t>Base para liquidación int corriente</t>
  </si>
  <si>
    <t>BASES</t>
  </si>
  <si>
    <t>VALOR ERRADO</t>
  </si>
  <si>
    <t>001 - comercial/360 = 360/360
002 - Real/360 = 366/360
003 - Real/365 = 366/365</t>
  </si>
  <si>
    <t>Base de liquidación con la que esta causando</t>
  </si>
  <si>
    <t>FACTLMOR-IN</t>
  </si>
  <si>
    <t>Factor base para liquidación de interes de mora</t>
  </si>
  <si>
    <t>La base de liquidación de la tasa de mora siempre deber 365</t>
  </si>
  <si>
    <t>PLAZO-IN</t>
  </si>
  <si>
    <t xml:space="preserve">Meses de plazo del prestamo.  </t>
  </si>
  <si>
    <t>* Plazo total del crédito o plazo del cupo rotativo.
* Para vivienda y Leasing habitacional el plazo total no debe superar los 360 meses.
Rellenar con ceros a la izquierda hasta completar el total del campo
Diferente de Cero</t>
  </si>
  <si>
    <t>Formula de validaciòn=([campo 65-FECDESEMB-IN] - [campo 72-FECFINPACT-IN])/365 * 12, 
Si el valor calculado en la formula es diferente al plazo entregado generar el siguiente error  "PLAZO ES DIFERENTE A LA DIFERENCIA ENTRE FECHA DESEMBOLSO Y VENCIMIENTO"
Y en caso de vivienda (campo 10-CODLINCRE-IN sea 119 y 117) si el plazo es mayor a 360 meses generar el siguiente error 
"PLAZO MAYOR AL PERMITIDO"
Si en el campo campo 10-CODLINCRE-IN sea 014, no aplica esta validación.</t>
  </si>
  <si>
    <t>* Plazo total del credito.
* Para vivienda y Leasing habitacional el plazo total no debe superar los 360 meses.
Rellenar con ceros a la izquierda hasta completar el total del campo</t>
  </si>
  <si>
    <t>SIGVIN-PREST</t>
  </si>
  <si>
    <t>Signo Valor inicial del prestamo</t>
  </si>
  <si>
    <t>VALPRESTA-IN</t>
  </si>
  <si>
    <t>Valor inicial del préstamo
Valor cupo aprobado</t>
  </si>
  <si>
    <t>12,2</t>
  </si>
  <si>
    <t>Para créditos diferentes a rotativo se debe enviar el valor del desembolso del crédito.
Si es un cupo rotativo (revolvente y no revolvente): Se debe registrar el valor del cupo aprobado.
Rellenar con ceros a la izquierda hasta completar el total del campo, sin separador de decimales.</t>
  </si>
  <si>
    <t>Si en el campo 10-CODLINCRE-IN se registra 014, el valor registrado en este campo debe ser igual a la suma de los campos 30-VALSLDACT-IN y campo 286-VRCUPDISP, de lo contrario:
Error: VALOR DEL CUPO APROBADO NO ES IGUAL A LA SUMA DEL CUPO DISPONIBLE Y UTILIZADO.
Para los demas productos validar que este campo no este en ceros.
VALOR ERRADO</t>
  </si>
  <si>
    <t>SIGSLD-CAPIT</t>
  </si>
  <si>
    <t>Signo Saldo de capital del prestamo</t>
  </si>
  <si>
    <t>VALSLDACT-IN</t>
  </si>
  <si>
    <t>Saldo de capital del préstamo a la fecha de migración (capital vigente  + capital vencido)</t>
  </si>
  <si>
    <t xml:space="preserve">
Para crédito diferente a rotativo, se debe enviar el resultado de: (capital vigente  + capital vencido).
Si es un cupo rotativo (revolvente y no revolvente): Se debe registrar el valor del cupo utilizado.
Rellenar con ceros a la izquierda hasta completar el total del campo, sin separador de decimales
</t>
  </si>
  <si>
    <t xml:space="preserve">Suma de campo (campo 34-CAPVIGACT-IN + campo 36-CAPVENCI-IN)
Error: VALOR CAPITAL DEL PRESTAMO ES DIFERENTE A LA SUMA DEL CAPITAL VIGENTE Y VENCIDO
</t>
  </si>
  <si>
    <t>SIGVCAP-PAG</t>
  </si>
  <si>
    <t>Signo Valor capital pagado a la fecha.</t>
  </si>
  <si>
    <t>VALCAPPAG-IN</t>
  </si>
  <si>
    <t>Valor capital pagado a la fecha de migracion</t>
  </si>
  <si>
    <t>Rellenar con ceros a la izquierda hasta completar el total del campo, sin separador de decimales.
Para crédito rotativo (campo codigo linea se registra 014), este campo debe llegar en ceros.</t>
  </si>
  <si>
    <t>Este calculo solo aplica para operaciones que en el campo 10-CODLINCRE-IN se registra un valor diferente a 014.
Calculo: Campo 28-VALPRESTA-IN -(menos) 30-VALSLDACT-IN = VALCAPPAG-IN
En el caso que el valor que reportan en este campo no coincide con la operación anterior, debe generar error:
"VALOR CAPITAL PAGADO DIFERENTE A LA RESTA DE VALOR DESEMBOLSO MENOS SALDO DE CAPITAL"
Para créditos que en el campo 10-CODLINCRE-IN se registra 014, siempre registrar cero.</t>
  </si>
  <si>
    <t>Valor
Default Ceros</t>
  </si>
  <si>
    <t>Rellenar con ceros a la izquierda hasta completar el total del campo, sin separador de decimales.
Para crédito rotativo (campo CODLINCRE-IN se registra 014), este campo debe llegar en ceros.</t>
  </si>
  <si>
    <t>SIGVCAP-VIG-ACT</t>
  </si>
  <si>
    <t>Signo Valor capital vigente actual</t>
  </si>
  <si>
    <t>CAPVIGACT-IN</t>
  </si>
  <si>
    <t>Valor capital vigente actual (No vencido) a la fecha de migracion</t>
  </si>
  <si>
    <t xml:space="preserve">Para crédito diferente a rotativo, se debe enviar el valor del capital no vencido.
Si es un cupo rotativo (revolvente y no revolvente): Se debe registrar el valor de capital que se encuentra no vencido del valor del cupo utilizado.
Rellenar con ceros a la izquierda hasta completar el total del campo, sin separador de decimales
</t>
  </si>
  <si>
    <t xml:space="preserve">Saldo de capital (campo 30-VALSLDACT-IN) menos el capital vencido (campo 36-CAPVENCI-IN).
CAPITAL VIGENTE ERRADO
</t>
  </si>
  <si>
    <t>gu</t>
  </si>
  <si>
    <t>SIGVCAP-VEN-A-PAG</t>
  </si>
  <si>
    <t>Signo Valor Capital Vencido a pagar</t>
  </si>
  <si>
    <t>CAPVENCI-IN</t>
  </si>
  <si>
    <t>Valor Capital Vencido a pagar</t>
  </si>
  <si>
    <t>Para crédito diferente a rotativo, se debe enviar el valor del capital vencido.
Si es un cupo rotativo (revolvente y no revolvente): Se debe registrar el valor de capital que se encuentra vencido del valor del cupo utilizado.
Rellenar con ceros a la izquierda hasta completar el total del campo, sin separador de decimales
.</t>
  </si>
  <si>
    <t xml:space="preserve">Saldo de capital (campo 30-VALSLDACT-IN) menos el capital vigente (Campo 34-CAPVIGACT-IN)
CAPITAL VENCIDO ERRADO
Se debe sumar los valores del campo VALCAP-EXI-IN del archivo "Cuotas_Exgibles" de todas las cuotas vencidas del mismo credito y debe ser igual al valor registrado en este campo
Error: VALOR VENCIDO CAPITAL ES DIFERENTE AL ARCHIVO DE CUOTAS EXIGIBLES
</t>
  </si>
  <si>
    <t>Valor 
Default Ceros</t>
  </si>
  <si>
    <t>SIGVINT-POR-AMO-ULT-CAUS</t>
  </si>
  <si>
    <t>Signo de Intereses por amortizar generados por pagos anticipados</t>
  </si>
  <si>
    <t xml:space="preserve">Siempre registrar el signo -  </t>
  </si>
  <si>
    <t>Cuotas anticipadas</t>
  </si>
  <si>
    <t>(-) Negativo</t>
  </si>
  <si>
    <t>INTPORAMO-IN</t>
  </si>
  <si>
    <t>Intereses por amortizar generados por pagos anticipados</t>
  </si>
  <si>
    <t>En el caso que cuenten con pagos anticipados, se debe registrar el valor de los intereses cancelados anticipadamente.
Default ceros</t>
  </si>
  <si>
    <t>Si este campo es mayor a cero, los campos 40 (INTCORRI-IN) y 42 (INTCORCNC-IN) deben registrar ceros, de lo contrario:
"VALOR ERRADO VS INTERES CORRIENTE"
Si en este campo se envia cero, no se realiza ninguna validación en este campo.</t>
  </si>
  <si>
    <t>En el caso que cuenten con pagos anticipados, se debe registrar el valor de los intereses cancelados anticipadamente.</t>
  </si>
  <si>
    <t>SIGINT-CORRI</t>
  </si>
  <si>
    <t>Signo de Intereses causados  a la fecha de última actualización de la causacion</t>
  </si>
  <si>
    <r>
      <t xml:space="preserve">(-) </t>
    </r>
    <r>
      <rPr>
        <sz val="11"/>
        <rFont val="Calibri"/>
        <family val="2"/>
        <scheme val="minor"/>
      </rPr>
      <t>Negativo</t>
    </r>
  </si>
  <si>
    <r>
      <t xml:space="preserve">Siempre registrar el signo </t>
    </r>
    <r>
      <rPr>
        <sz val="11"/>
        <color theme="1"/>
        <rFont val="Calibri"/>
        <family val="2"/>
        <scheme val="minor"/>
      </rPr>
      <t xml:space="preserve">-  </t>
    </r>
  </si>
  <si>
    <t>INTCORRI-IN</t>
  </si>
  <si>
    <t xml:space="preserve">Intereses corrientes causados en CXC pendientes de pago al día anterior de la fecha de migración </t>
  </si>
  <si>
    <t>Este campo debe incluir el valor de los intereses corrientes causados y vencidos.
Rellenar con ceros a la izquierda hasta completar el total del campo, sin separador de decimales
Si el crédito corresponde a Vivienda o Leasing habitacional y tiene beneficio frech, se debe relacionar unicamente el interes que debe pagar el cliente.
Default ceros.</t>
  </si>
  <si>
    <t>Si el campo 38 (INTPORAMO-IN) el valor registrado es mayor a cero, este campo debe ser igual a cero.
Si el campo 38 (INTPORAMO-IN) el valor registrado es igual a cero, este campo debe ser mayor a cero.
"VALOR INTERES CORRIENTE ERRADO"</t>
  </si>
  <si>
    <t>Este campo debe incluir el valor de los intereses corrientes causados y vencidos.
Rellenar con ceros a la izquierda hasta completar el total del campo, sin separador de decimales
Si el crédito corresponde a Vivienda o Leasing habitacional y tiene beneficio frech, se debe relacionar unicamente el interes que debe pagar el cliente.</t>
  </si>
  <si>
    <t>SIGINTCTE-CTAS-ORD</t>
  </si>
  <si>
    <t>Signo Intereses corrientes en cuentas de orden</t>
  </si>
  <si>
    <t>INTCORCNC-IN</t>
  </si>
  <si>
    <t xml:space="preserve">Intereses corrientes en cuentas de orden causados pendientes de pago  al día anterior de la fecha de migración  </t>
  </si>
  <si>
    <t>Este campo debe incluir el valor de los intereses corrientes causados y vencidos.
Rellenar con ceros a la izquierda hasta completar el total del campo, sin separador de decimales
Valor o Ceros</t>
  </si>
  <si>
    <t>Si el campo 38 (INTPORAMO-IN) el valor registrado es mayor a cero, este campo debe ser igual a cero.
"VALOR INTERES CORRIENTE ERRADO"</t>
  </si>
  <si>
    <t>Este campo debe incluir el valor de los intereses corrientes causados y vencidos.
Rellenar con ceros a la izquierda hasta completar el total del campo, sin separador de decimales</t>
  </si>
  <si>
    <t>SIGINTMOR-XPAG-CAU</t>
  </si>
  <si>
    <t>Signo Intereses de mora por pagar - CxC</t>
  </si>
  <si>
    <t>INTMORPPA-IN</t>
  </si>
  <si>
    <t>Intereses de mora por pagar - CxC causados pendientes de pago al día anterior de la fecha de migración</t>
  </si>
  <si>
    <t>Rellenar con ceros a la izquierda hasta completar el total del campo, sin separador de decimales
Valor
Default Ceros</t>
  </si>
  <si>
    <t>Rellenar con ceros a la izquierda hasta completar el total del campo, sin separador de decimales</t>
  </si>
  <si>
    <t>SIGINTMOR-CTAS-ORD</t>
  </si>
  <si>
    <t>Signo Intereses de mora en cuentas de orden</t>
  </si>
  <si>
    <t>INTMORCNC-IN</t>
  </si>
  <si>
    <t>Intereses de mora en cuentas de orden causados pendientes de pago al día anterior de la fecha de migración</t>
  </si>
  <si>
    <t>SIGPORINTCOR2-IN</t>
  </si>
  <si>
    <t>Signo Porcentaje Interes Corriente Pactado, Nominal tasa fija, Puntos Adic. Tasa Variable</t>
  </si>
  <si>
    <t>Si tiene tasa pactada a futuro, debe diligenciar estos campos de lo contrario enviar los default.
El tipo de tasa que se registra en estos campos, debe ser igual a la registrada en el campo TIPOTASA-IN (12) y TASDINAM-IN (13)</t>
  </si>
  <si>
    <r>
      <t xml:space="preserve">Siempre registrar el signo </t>
    </r>
    <r>
      <rPr>
        <sz val="11"/>
        <color theme="1"/>
        <rFont val="Calibri"/>
        <family val="2"/>
        <scheme val="minor"/>
      </rPr>
      <t xml:space="preserve">+  </t>
    </r>
  </si>
  <si>
    <t>ORINTCOR2-IN</t>
  </si>
  <si>
    <t>Valor de la tasa del crédito en términos nominal vencido anual. En caso de tasa variable los puntos adicionales (spread)</t>
  </si>
  <si>
    <t>Si tiene tasa pactada a futuro, debe diligenciar este campo de lo contrario enviar los default.
Valor de la tasa del crédito en términos nominal vencido anual. En caso de tasa variable los puntos adicionales (spread)
Default Ceros</t>
  </si>
  <si>
    <t>Si se registra valor diferente a ceros en el campo 48-ORINTCOR2-IN, en los campos siguientes el 49, 50 y 51 deben contener datos, si en algun campos no existe valor enviar error "DATOS INCOMPLETOS"</t>
  </si>
  <si>
    <t>Valor de la tasa del crédito en términos nominal vencido anual. En caso de tasa variable los puntos adicionales (spread)
Enviar valor de tasa pactada en terminos nominales.</t>
  </si>
  <si>
    <t>TIPOTASA2-IN</t>
  </si>
  <si>
    <t>Si tiene tasa pactada a futuro, debe diligenciar estos campos de lo contrario enviar los default.
D. Variable                                 
F. Fija
Default Vacio</t>
  </si>
  <si>
    <t>D. Variable                                 
F. Fija
Default Vacio</t>
  </si>
  <si>
    <t xml:space="preserve">
Enviar D, cuando es tasa variable (DTF, IBR...)
Enviar F, cuando es tasa fija.
Si no tiene tasa pactada a futuro enviar Default.</t>
  </si>
  <si>
    <t>TASDINAM2-IN</t>
  </si>
  <si>
    <t>Si tiene tasa pactada a futuro, debe diligenciar estos campos de lo contrario enviar los default.
Si en el campo tipo tasa (futuro) es D - debe ir D, E, I, B, R
Si en elcampo tipo tasa (futuro) es F - debe ir X
D. DTF TA                                             
E. DTF EA                                        
X: TASA Fija  
I - IBR MES 
B - IBR Trimestral 
R - IBR Semestral
Default Vacio</t>
  </si>
  <si>
    <r>
      <t xml:space="preserve">D. </t>
    </r>
    <r>
      <rPr>
        <sz val="11"/>
        <rFont val="Calibri"/>
        <family val="2"/>
        <scheme val="minor"/>
      </rPr>
      <t xml:space="preserve">DTF TA                                             
E. DTF EA                                        
</t>
    </r>
    <r>
      <rPr>
        <sz val="11"/>
        <color rgb="FFFF0000"/>
        <rFont val="Calibri"/>
        <family val="2"/>
        <scheme val="minor"/>
      </rPr>
      <t xml:space="preserve">X: </t>
    </r>
    <r>
      <rPr>
        <sz val="11"/>
        <rFont val="Calibri"/>
        <family val="2"/>
        <scheme val="minor"/>
      </rPr>
      <t>TASA Fija</t>
    </r>
    <r>
      <rPr>
        <sz val="11"/>
        <color theme="1"/>
        <rFont val="Calibri"/>
        <family val="2"/>
        <scheme val="minor"/>
      </rPr>
      <t xml:space="preserve">  
I - IBR MES 
B - IBR Trimestral 
R - IBR Semestral
Default Vacio</t>
    </r>
  </si>
  <si>
    <r>
      <t xml:space="preserve">
Si en el campo TIPOTASA2-IN es D - debe ir D, E, I, B, R
Si en elcampo TIPOTASA2-IN es F - debe i</t>
    </r>
    <r>
      <rPr>
        <sz val="11"/>
        <color rgb="FFFF0000"/>
        <rFont val="Calibri"/>
        <family val="2"/>
        <scheme val="minor"/>
      </rPr>
      <t>r X</t>
    </r>
    <r>
      <rPr>
        <sz val="11"/>
        <color theme="1"/>
        <rFont val="Calibri"/>
        <family val="2"/>
        <scheme val="minor"/>
      </rPr>
      <t xml:space="preserve">
Si no tiene tasa pactada a futuro enviar Default.</t>
    </r>
  </si>
  <si>
    <t>FECNEWTASA-IN</t>
  </si>
  <si>
    <t xml:space="preserve">Fecha a partir de la cual la tasa cambia </t>
  </si>
  <si>
    <t>Si tiene tasa pactada a futuro, debe diligenciar estos campos de lo contrario enviar los default.
Enviar fecha a partir de cuando aplicar el cambio de tasa AAAAMMDD
Si no tiene tasa pactada a futuro enviar Default.
Default Ceros</t>
  </si>
  <si>
    <t>Enviar fecha a partir de cuando aplicar el cambio de tasa AAAAMMDD
Si no tiene tasa pactada a futuro enviar Default.</t>
  </si>
  <si>
    <t>NUMICR-IN</t>
  </si>
  <si>
    <t>Cantidad de ICR</t>
  </si>
  <si>
    <t>Default ceros</t>
  </si>
  <si>
    <t>Default</t>
  </si>
  <si>
    <t>FILLER-PU</t>
  </si>
  <si>
    <t>Por Utilizar</t>
  </si>
  <si>
    <t>SENCARCUE-IN</t>
  </si>
  <si>
    <t xml:space="preserve">Señal de Cargo a cuenta para débitos automáticos. </t>
  </si>
  <si>
    <t>Dado que la cuenta relacionada es una cta de  relacionar 0 en este campo y enviarnos el número de cta en el anexo "CTAS DEBITO_UTILI ROTAT"
1 - Si tiene cargo
0- No tiene cargo
Default 0</t>
  </si>
  <si>
    <t>VALOR ERRADO
"Para leasing habitacional no familiar,no debe traer cuenta AFC para autodebito"</t>
  </si>
  <si>
    <t>Asociados al campo 166 (TIPCUECAR-IN)</t>
  </si>
  <si>
    <t xml:space="preserve">1 - Si tiene cargo
0- No tiene cargo
</t>
  </si>
  <si>
    <t>Si tiene cuenta autorizada para autodebitos, se debe enviar 1 en este campo. 
Dado que la cuenta relacionada es una cta de  relacionar 0 en este campo y enviarnos el numero de cta en el anexo "Ctas debito auto."</t>
  </si>
  <si>
    <t>NUMCUECAR-IN</t>
  </si>
  <si>
    <t>Número de la cuenta producto asociada para débito automático.</t>
  </si>
  <si>
    <t>Dado que la cuenta relacionada es una cta de  relacionar default en este campo y enviarnos el número de cta en el anexo "CTAS DEBITO_UTILI ROTAT"
Enviar número de cuenta  o
Default 0000000001</t>
  </si>
  <si>
    <t>Se debe validar que tenga registrada cuenta, y que sean 9 digitos mas el digito de chequeo, en total 10. "NO SE REGISTRO # CUENTA"</t>
  </si>
  <si>
    <t>Enviar numero de cuenta  o
Default 0000000001</t>
  </si>
  <si>
    <t>Si el campo anterior tiene 1 enviar el numero de cuenta si no enviar el default Rellenar con ceros a la Izquierda.
Dado que la cuenta relacionada es una cta de  relacionar 0 en este campo y enviarnos el numero de cta en el anexo "Ctas debito auto."</t>
  </si>
  <si>
    <t>SENACTADM-IN</t>
  </si>
  <si>
    <t>Señal Administrativa (marcación del tipo de proceso en que se encuentra el crédito)</t>
  </si>
  <si>
    <t>0 Normal                                         
1 Prejuridico                                         
2 Jurídico
8 Siniestro</t>
  </si>
  <si>
    <t>Marcación del tipo de proceso en que se encuentra el crédito</t>
  </si>
  <si>
    <t>SEÑAL ADMIN</t>
  </si>
  <si>
    <t>Asociado a campo PROCJURID-IN (141)</t>
  </si>
  <si>
    <t>0 Normal                                         
1 Prejuridico                                         
2 Jurídico                                                                                                        
8 Siniestro</t>
  </si>
  <si>
    <t>Si en el campo ESTADOPRE-IN se registro (06 castigado), en este campo se debe registrar 4 castigado.</t>
  </si>
  <si>
    <t>STDIABASE-IN</t>
  </si>
  <si>
    <t>Dia de pago del crédito</t>
  </si>
  <si>
    <t>Rellenar con ceros a la izquierda hasta completar el total del campo.
Se debe registrar el dia de pago de la cuota (ej:15, 20, 30)
Diferente de Cero</t>
  </si>
  <si>
    <t>Incluir validacion donde los valores permitidos van desde el 01 al 31, de lo contrario enviar error:
DIA DE PAGO INVALIDO</t>
  </si>
  <si>
    <t>Rellenar con ceros a la izquierda hasta completar el total del campo.
Se debe registrar el dia de pago de la cuota (ej:15, 20, 30)</t>
  </si>
  <si>
    <t>NUMCUOPAG-IN</t>
  </si>
  <si>
    <t>Número de cuotas ya pagadas</t>
  </si>
  <si>
    <t>Cuotas totalmente pagadas.(No debe capital, interes, ni gastos).
Si no ha pagado cuotas se debe enviar cero
Para operaciones rotativo (campo Codigo de Linea) se registra 014), este campo siempre debe ir en ceros.
Rellenar con ceros a la izquierda hasta completar el total del campo.
Default Ceros</t>
  </si>
  <si>
    <t>Este calculo solo aplica para operaciones que en el campo 10-CODLINCRE-IN se registra un valor diferente a 014.
Plazo inicial Campo 26 (PLAZO-IN)  - Cuotas vencidas campo 60 (NUMCUOVEN-IN) - Cuotas a pagar no vencidas campo 59 (NUMCUOAPA-IN) = CUOTAS YA PAGAS.
Error: NUMERO DE CUOTAS YA PAGADAS ERRADAS
Para créditos que en el campo 10-CODLINCRE-IN se registra 014, siempre registrar cero.</t>
  </si>
  <si>
    <t>Cuotas totalmente pagadas.(No debe capital, interes, ni gastos).</t>
  </si>
  <si>
    <t>Rellenar con ceros a la izquierda hasta completar el total del campo.
Si no ha pagado cuotas se debe enviar cero
Para operaciones rotativo (campo CODLINCRE-IN se registra 014), este campo siempre debe ir en ceros.</t>
  </si>
  <si>
    <t>NUMCUOAPA-IN</t>
  </si>
  <si>
    <t>Número de cuotas a pagar no vencidas</t>
  </si>
  <si>
    <t>Siempre mayor a cero (0)
Para crédito rotativo, enviar cero.</t>
  </si>
  <si>
    <t>Este calculo solo aplica para operaciones que en el campo 10-CODLINCRE-IN se registra un valor diferente a 014.
Numero de cuotas a pagar no vencidas= Campo 26 (PLAZO-IN)  - campo 58 (NUMCUOPAG-IN) - campo 60 (NUMCUOVEN-IN).
Ej: Plazo total del crédito: 100, Número ya pagadas: 10, Número de cuotas vencidas pendientes de pago: 2 
Numero de cuotas a pagar  no vencidas = 100 - 10 - 2 = 88
Error: "NUMERO DE CUOTAS A PAGAR NO VENCIDAS ERRADO"
Para créditos que en el campo 10-CODLINCRE-IN se registra 014, siempre registrar cero.</t>
  </si>
  <si>
    <t>Siempre mayor a cero (0)</t>
  </si>
  <si>
    <t>Rellenar con ceros a la izquierda hasta completar el total del campo.
Este calculo solo aplica para operaciones que en el campo CODLINCRE-IN se registra un valor diferente a 014.</t>
  </si>
  <si>
    <t>NUMCUOVEN-IN</t>
  </si>
  <si>
    <t>Número de cuotas vencidas pendientes de pago</t>
  </si>
  <si>
    <t>Rellenar con ceros a la izquierda hasta completar el total del campo.
Si no tiene cuotas vencidas se envia cero (0)
Default cero</t>
  </si>
  <si>
    <t xml:space="preserve">Esta validacion aplica para creditos donde en el campo 10-CODLINCRE-IN se registra un valor diferente a 014:
Plazo inicial Campo 26 (PLAZO-IN)  - Cuotas ya pagadas (NUMCUOPAG-IN) - Cuotas a pagar no vencidas campo 59 (NUMCUOAPA-IN) = CUOTAS VENCIDAS.
Error: "NUMERO DE CUOTAS VENCIDAS ERRADAS"
De acuerdo con la validación anterior:
* Si es = 0, validar en el archivo de "CUOTAS_EXIGIBLES", que exista 1 unica cuota donde la fecha del campo  FECCUO-EXI-IN, sea igual o mayor a la fecha con la que se esta migrando (hoy).
* Si es &gt; 0, validar en el archivo de "CUOTAS_EXIGIBLES", que exista la misma cantidad de cuotas vencidas por crédito; (la cuota es vencida cuando la fecha del campo FECCUO-EXI-IN es menor a la fecha con la que se esta migrando hoy).
Error: "NUMERO DE CUOTAS VENCIDAS NO ES IGUAL A NUMERO DE CUOTAS EXIGIBLES"
Para créditos que en el campo CODLINCRE-IN se registra 014, validar:
* Si el campo es  = 0, validar en el archivo de "CUOTAS_EXIGIBLES", que exista 1 unica cuota donde la fecha del campo 2 FECCUO-EXI-IN, sea igual o mayor a la fecha con la que se esta migrando (hoy).
* Si el campo es  &gt; 0, validar en el archivo de "CUOTAS_EXIGIBLES", que exista la misma cantidad de cuotas vencidas por crédito; (la cuota es vencida cuando la fecha del campo FECCUO-EXI-IN es menor a la fecha con la que se esta migrando hoy).
Error: "NUMERO DE CUOTAS VENCIDAS NO ES IGUAL A NUMERO DE CUOTAS EXIGIBLES"
</t>
  </si>
  <si>
    <t>Rellenar con ceros a la izquierda hasta completar el total del campo.
Si no tiene cuotas vencidas se envia cero (0)</t>
  </si>
  <si>
    <t>NUMVECMOR-IN</t>
  </si>
  <si>
    <t>Número de veces en mora</t>
  </si>
  <si>
    <t>Default Ceros
* Cuantas veces el crédito ha caido en mora. 
En caso de no tener esta informacion enviar cero.</t>
  </si>
  <si>
    <t>Rellenar con ceros a la izquierda hasta completar el total del campo.
* Cuantas veces el credito ha caido en mora. 
En caso de no tener esta informacion enviar cero.</t>
  </si>
  <si>
    <t>NUMDIAMOR-IN</t>
  </si>
  <si>
    <t>Número de días en mora actualmente</t>
  </si>
  <si>
    <t>Si en el campo número de cuotas vencidas registra valor diferente de cero, en este campo se debe enviar un valor diferente de cero.
Default Ceros</t>
  </si>
  <si>
    <t>DIAS MORA ACT ERRADO</t>
  </si>
  <si>
    <t>Asociado a campo 76</t>
  </si>
  <si>
    <t>Si en el campo NUMCUOVEN-IN registra valor diferente de cero, en este campo se debe enviar un valor diferente de cero, de lo contrario enviar cero.</t>
  </si>
  <si>
    <t>MAXDIAMOR-IN</t>
  </si>
  <si>
    <t>Máximo # de dias en mora durante la vida del crédito</t>
  </si>
  <si>
    <t>Nro. De días
Rellenar con ceros a la izquierda hasta completar el total del campo.
Si no se cuenta con esta informacion y el crédito esta en mora, enviar los dias de mora actuales.
Default ceros</t>
  </si>
  <si>
    <t>Nro. o Cero</t>
  </si>
  <si>
    <t>Rellenar con ceros a la izquierda hasta completar el total del campo.
Si no se cuenta con esta informacion y el credito esta en mora, enviar los dias de mora actuales.</t>
  </si>
  <si>
    <t>ESTADOPRE-IN</t>
  </si>
  <si>
    <t>Estado del Prestamo.</t>
  </si>
  <si>
    <t>01 Vigente
02 Vencido
05 Reestructurado
Si el crédito esta al dia o en mora y no ha llegado a su vencimiento final, siempre se debe enviar 01.
Si el crédito ya llego a su fecha de vencimiento final y el crédito aún tiene deuda debe registrarse en estado 02.</t>
  </si>
  <si>
    <t>Si se registra 01, la fecha de vencimiento final (campo 72 - FECFINPACT-IN) no puede ser inferior a la fecha de migración (hoy).
Si se registra 02, la fecha de vencimiento final (campo 72 - FECFINPACT-IN) debe ser inferior a la fecha de migración (hoy).
Error: "ESTADO DE PRESTAMO ERRADO"</t>
  </si>
  <si>
    <t xml:space="preserve">Si es un credito reestructurado, se deben llenar los campos  75 (RESTRCTRD-IN), 132 (SENPRERES-IN) 133, (RESTRCTRO-IN) y 134 (NUMRESPRE-IN), </t>
  </si>
  <si>
    <t xml:space="preserve">01 Vigente                                                                     
02 Vencido                   
05 Reestructurado
     </t>
  </si>
  <si>
    <t>Si el crédito esta al dia o en mora y no ha llegado a su vencimiento final, siempre se debe enviar 01.
Si el credito ya llego a su fecha de vencimiento final y el crédito aún tiene deuda debe registrarse en estado 02.</t>
  </si>
  <si>
    <t>FECDESEMB-IN</t>
  </si>
  <si>
    <t>Fecha del Desembolso</t>
  </si>
  <si>
    <t>Diferente de Cero
Formato es aaaammdd</t>
  </si>
  <si>
    <t>FORMATO ERRADO</t>
  </si>
  <si>
    <t>Formato es aaaammdd</t>
  </si>
  <si>
    <t>FECINTVEN-IN</t>
  </si>
  <si>
    <t>Fecha de vencimiento de Intereses-cuota mas vencida (más antigua)</t>
  </si>
  <si>
    <t>Fecha
Default cero
Formato es aaaammdd - Aplica únicamente si la obligacion esta en mora, si no esta en mora se envia en ceros.</t>
  </si>
  <si>
    <t xml:space="preserve">Si en el campo 60 NUMCUOVEN-IN el valor es mayor a 0, se debe validar que la fecha registrada en este campo sea igual a la fecha registrada más antigua en el archivo de "CUOTAS_EXIGIBLES" en el campo FECCUO-EXI-IN (donde el campo VALCTE-EXI-IN el valor registrado sea mayor a cero).
Error: "FECHA CUOTA VENCIDA NO COINCIDE CON CUOTAS EXIGIBLES"
</t>
  </si>
  <si>
    <t>Fecha o Cero</t>
  </si>
  <si>
    <t>Formato es aaaammdd - Aplica unicamente si la obligacion esta en mora, si no esta en mora se envia en ceros.</t>
  </si>
  <si>
    <t>FECCAPVEN-IN</t>
  </si>
  <si>
    <t>Fecha de vencimiento de Capital-cuota mas vencida (más antigua)</t>
  </si>
  <si>
    <t xml:space="preserve">Si en el campo 60 NUMCUOVEN-IN el valor es mayor a 0, se debe validar que la fecha registrada en este campo sea igual a la fecha registrada más antigua en el archivo de "CUOTAS_EXIGIBLES" en el campo 72 FECCUO-EXI-IN (donde el campo VALCAP-EXI-IN el valor registrado sea mayor a cero).
Error: "FECHA CUOTA VENCIDA NO COINCIDE CON CUOTAS EXIGIBLES"
</t>
  </si>
  <si>
    <t>FECINICAU-IN</t>
  </si>
  <si>
    <t>Fecha de inicio de causacion (El  inicia la causacion de interes a partir del dia de migración)</t>
  </si>
  <si>
    <t xml:space="preserve">Diferente de Cero
Formato aaaammdd
El  inicia la causacion de interes a partir del dia de migración, por tal razón se debe enviar la fecha del dia de la migración. </t>
  </si>
  <si>
    <t>Validar que la fecha registrada en este campo, sea la fecha con la que se esta validando el archivo, delo contrario generar error: "FECHA INVALIDA"</t>
  </si>
  <si>
    <t>Diferente de Cero
Formato aaaammdd</t>
  </si>
  <si>
    <t>Se debe enviar la fecha del dia de la migración. 
Formato es aaaammdd</t>
  </si>
  <si>
    <t>FECULTCAU-IN</t>
  </si>
  <si>
    <t>Fecha de última causacion</t>
  </si>
  <si>
    <t>Diferente de Cero
Formato aaaammdd
Se debe enviar el dia anterior a la fecha del dia de migración. 
Si el dia de la migración se efectua un dia despues de fin de semana o un dia festivo, la causacion debe venir hasta ese dia.</t>
  </si>
  <si>
    <t>Validar que la fecha registrada en este campo, sea el dia anterior a la fecha con la que se esta validando el archivo, de lo contrario generar error: "FECHA INVALIDA"</t>
  </si>
  <si>
    <t>Se debe enviar el dia anterior a la fecha del dia de migración. 
Si el dia de la migración se efectua un dia despues de fin de semana o un dia festivo, la causacion debe venir hasta ese dia.
Formato es aaaammdd</t>
  </si>
  <si>
    <t>FECULTFAC-IN</t>
  </si>
  <si>
    <t>Fecha de última facturación</t>
  </si>
  <si>
    <t>Diferente de Cero
Formato aaaammdd
Se debe enviar la fecha de la ultima facturación antes de la migración.</t>
  </si>
  <si>
    <t>Validacion pte, generacion de extracto.</t>
  </si>
  <si>
    <t>Se debe enviar la fecha de la ultima facturación antes de la migración.
Formato es aaaammdd</t>
  </si>
  <si>
    <t>FECULTABO-IN</t>
  </si>
  <si>
    <t>Fecha de último abono recibido del cliente o del proximo pago a realizar por el cliente.</t>
  </si>
  <si>
    <t>Fecha
Se debe enviar fecha del ultimo pago recibido por el cliente.
Si el cliente no ha realizado el primer pago del crédito se debe registrar la fecha del proximo pago.
Formato es aaaammdd</t>
  </si>
  <si>
    <t>Se debe validar que este campo siempre tenga una fecha, el campo no puede venir con ceros.
Error: "FALTA FECHA"</t>
  </si>
  <si>
    <t>Fecha</t>
  </si>
  <si>
    <t>Se debe enviar fecha del ultimo pago recibido por el cliente.
Si el cliente no ha realizado el primer pago del crédito se debe registrar la fecha del proximo pago.
Formato es aaaammdd</t>
  </si>
  <si>
    <t>FECFINPACT-IN</t>
  </si>
  <si>
    <t xml:space="preserve">Fecha Final pactada.  </t>
  </si>
  <si>
    <t>Fecha vencimiento final del crédito.
Diferente de Cero
Formato aaaammdd</t>
  </si>
  <si>
    <t>Se debe validar que el campo FECDESEMB-IN más el numero de cuotas del campo PLAZO-IN (26) sea igual igual a la fecha registrada en este campo, Si la validacion no es correcta enviar error "FECHA FINAL ERRADA"
Si en el campo CODLINEA se registra 014, esta fecha debe llegar como 99991231.</t>
  </si>
  <si>
    <t>Fecha vencimiento final del crédito.
Formato es aaaammdd</t>
  </si>
  <si>
    <t>FECPROABO-IN</t>
  </si>
  <si>
    <t xml:space="preserve">Fecha próximo abono </t>
  </si>
  <si>
    <t>Fecha del próximo pago a realizar al crédito, (posterior a la fecha de migracion)
Diferente de Cero
Formato aaaammdd</t>
  </si>
  <si>
    <t>Validar que la fecha registrada en este campo sea mayor a la fecha con la que se esta realizando la migración.
Error: "FECHA INVALIDA"
El dia de pago registrado en el campo (57- STDIABASE-IN) debe corresponder al mismo dia de pago registrado en este campo.
Ej: Campo (57- STDIABASE-IN), registre 15, en este campo va aaaammdd 20260415.
Error: DIA DE PAGO REGISTRADO EN PROXIMA CUOTA INVALIDO
En este campo se debe registrar la fecha de la siguiente cuota a pagar que debe ser la misma registrada en el archivo de cuotas_exigibles campo FECCUO-EXI-IN.
Error: FECHA PROXIMO ABONO DIFERENTE A FECHA (FECCUO-EXI-IN) ARCHIVO CUOTAS EXIGIBLES.</t>
  </si>
  <si>
    <t>Fecha del próximo pago a realizar al crédito, (posterior a la fecha de migracion)
Formato es aaaammdd</t>
  </si>
  <si>
    <t>FULTCUOPAG-IN</t>
  </si>
  <si>
    <t>Fecha última cuota total pagada</t>
  </si>
  <si>
    <t>Se debe enviar la fecha de la última cuota total pagada. (No parcial).
Si no se ha realizado ningun pago a la obligacion se debe enviar la fecha del proximo abono.
Diferente de Cero
Formato aaaammdd</t>
  </si>
  <si>
    <t>Este campo no puede llevar valores en cero, de lo contrario generar mensaje error:
NO SE REGISTRO FECHA DEL ULTIMO ABONO .</t>
  </si>
  <si>
    <t>Se debe enviar la fecha de la última cuota total pagada. (No parcial).
Si no se ha realizado ningun pago a la obligacion se debe enviar la fecha del proximo abono.
Formato es aaaammdd</t>
  </si>
  <si>
    <t>RESTRCTRD-IN</t>
  </si>
  <si>
    <t>Número del credito reestructurado</t>
  </si>
  <si>
    <t>Por Default enviar 0 (Cero)
Si en el campo estado de crédito envia 05, enviar el número de crédito si lo tiene o el default.
Si en el campo estado de crédito se envia 01, 02  enviar el default.</t>
  </si>
  <si>
    <t>Si en el campo 64 (ESTADOPRE-IN) se envia 01, 02 o 06, enviar el default.
Error: INFORMACION INVALIDA SEGÚN EL ESTADO DE PRESTAMO</t>
  </si>
  <si>
    <t>Asociado al campo 64 (ESTADOPRE-IN)</t>
  </si>
  <si>
    <r>
      <t xml:space="preserve">Por Default enviar </t>
    </r>
    <r>
      <rPr>
        <sz val="11"/>
        <rFont val="Calibri"/>
        <family val="2"/>
        <scheme val="minor"/>
      </rPr>
      <t>0 (Cero)</t>
    </r>
  </si>
  <si>
    <t>Si en el campo 64 (ESTADOPRE-IN) envia 05, enviar el numero de credito si lo tiene o el default.
Si en el campo 64 (ESTADOPRE-IN) se envia 01, 02, enviar el default.</t>
  </si>
  <si>
    <t>DIASVEN-IN</t>
  </si>
  <si>
    <t xml:space="preserve">Código rango días vencidos </t>
  </si>
  <si>
    <t>Si el crédito registra días en mora en el campo número días de mora, enviar el código dependiendo los días de mora que tenga el crédito.
Si el crédito esta al dia enviar BB.
Ej: campo número días de mora 100, enviar 04.
BB. 0 dias                                    
01. 1-30 dias                               
02. 31-60 dias                             
03. 61-90 dias                             
04. 91-180 dias                          
05. 181-360 dias                        
06. 361-720 dias                        
07. 721-9999 dias</t>
  </si>
  <si>
    <t>Rango en días de mora</t>
  </si>
  <si>
    <t>COD RAN DIAS MORA</t>
  </si>
  <si>
    <t>RANGO DE MORA ERRADO</t>
  </si>
  <si>
    <t>Asociado a campo 62</t>
  </si>
  <si>
    <t>BB. 0 dias                                    
01. 1-30 dias                               
02. 31-60 dias                             
03. 61-90 dias                             
04. 91-180 dias                          
05. 181-360 dias                        
06. 361-720 dias                        
07. 721-9999 dias</t>
  </si>
  <si>
    <t>Si el crédito registra días en mora en el campo 62 (NUMDIAMOR-IN), enviar el código dependiendo los días de mora que tenga el crédito.
Si el crédito esta al dia enviar BB.
Ej: campo 62 (NUMDIAMOR-IN) 100, enviar 04.</t>
  </si>
  <si>
    <t>STRCALVEN-IN</t>
  </si>
  <si>
    <t>Calificacion Por Temporalidad</t>
  </si>
  <si>
    <t>A, B, C, D, E</t>
  </si>
  <si>
    <t xml:space="preserve">Temporalidad por mora </t>
  </si>
  <si>
    <t>TEMPORALIDAD</t>
  </si>
  <si>
    <t>DATO ERRADO</t>
  </si>
  <si>
    <r>
      <t xml:space="preserve">A, B, C, D, E </t>
    </r>
    <r>
      <rPr>
        <sz val="11"/>
        <color rgb="FFFF0000"/>
        <rFont val="Calibri"/>
        <family val="2"/>
        <scheme val="minor"/>
      </rPr>
      <t>(pte validar con control de credito)</t>
    </r>
  </si>
  <si>
    <t>TIPGARPRE-IN</t>
  </si>
  <si>
    <t>Tipo de garantia</t>
  </si>
  <si>
    <t xml:space="preserve">I.  Idonea                                         
O. Otras </t>
  </si>
  <si>
    <t>Si en el campo (10 - CODLINCRE-IN), envian "091, 092, 093, 094, 095, 096, 117, 118, 119" siempre debe venir este campo con I, de lo contrario enviar error: "TIPO DE GARANTIA NO COINCIDE CON LA LINEA"  
Para las demás lineas debe venir cualquiera de las dos opciones : I o O. 
"TIPO DE GARANTIA ERRADO"</t>
  </si>
  <si>
    <t>STRCALEVA-IN</t>
  </si>
  <si>
    <t>Calificacion Por Evaluacion (Riesgo)</t>
  </si>
  <si>
    <t xml:space="preserve">1 - AA 
2 - A 
3 - BB  
4 - B
5 -CC
6 - D 
7 - E, 
Default ' '
Si no se cuenta con la informaciòn enviar default.
Solo comercial y consumo. No aplica para vivienda.
</t>
  </si>
  <si>
    <t xml:space="preserve">Calificación por Riesgo </t>
  </si>
  <si>
    <t>Solo permite datos entre el (1 al 7), o el default espacio, no debe llegar un carácter diferente.
Error: DATO ERRADO</t>
  </si>
  <si>
    <r>
      <rPr>
        <sz val="11"/>
        <color rgb="FFFF0000"/>
        <rFont val="Calibri"/>
        <family val="2"/>
        <scheme val="minor"/>
      </rPr>
      <t>1 - AA</t>
    </r>
    <r>
      <rPr>
        <sz val="11"/>
        <color theme="1"/>
        <rFont val="Calibri"/>
        <family val="2"/>
        <scheme val="minor"/>
      </rPr>
      <t xml:space="preserve"> 
2 - A 
3 - </t>
    </r>
    <r>
      <rPr>
        <sz val="11"/>
        <color rgb="FFFF0000"/>
        <rFont val="Calibri"/>
        <family val="2"/>
        <scheme val="minor"/>
      </rPr>
      <t>BB</t>
    </r>
    <r>
      <rPr>
        <sz val="11"/>
        <color theme="1"/>
        <rFont val="Calibri"/>
        <family val="2"/>
        <scheme val="minor"/>
      </rPr>
      <t xml:space="preserve">  
4 - B
5 -</t>
    </r>
    <r>
      <rPr>
        <sz val="11"/>
        <color rgb="FFFF0000"/>
        <rFont val="Calibri"/>
        <family val="2"/>
        <scheme val="minor"/>
      </rPr>
      <t xml:space="preserve">CC
6 - </t>
    </r>
    <r>
      <rPr>
        <sz val="11"/>
        <color theme="1"/>
        <rFont val="Calibri"/>
        <family val="2"/>
        <scheme val="minor"/>
      </rPr>
      <t xml:space="preserve">D 
7 - E, 
Default espacio
Solo comercial y consumo. No aplica para vivienda.
</t>
    </r>
    <r>
      <rPr>
        <sz val="11"/>
        <color rgb="FFFF0000"/>
        <rFont val="Calibri"/>
        <family val="2"/>
        <scheme val="minor"/>
      </rPr>
      <t>(pte validar con control de credito)</t>
    </r>
  </si>
  <si>
    <t>Por riesgo, si la tienen, si no envar enviar vacio.</t>
  </si>
  <si>
    <t>STRCALRES-IN</t>
  </si>
  <si>
    <t>Calificacion Por Reestructuracion</t>
  </si>
  <si>
    <t>Si en el campo estado de crédito se envia 05 en este campo se debe enviar la calificación por reestructuración.
A, B, C, D, E
Default ' '
Si no se cuenta con la informaciòn enviar default.</t>
  </si>
  <si>
    <t>Calificación por reestructuración</t>
  </si>
  <si>
    <r>
      <t xml:space="preserve">A, B, C, D, E, '  '
</t>
    </r>
    <r>
      <rPr>
        <sz val="11"/>
        <color rgb="FFFF0000"/>
        <rFont val="Calibri"/>
        <family val="2"/>
        <scheme val="minor"/>
      </rPr>
      <t>(pte validar con control de credito)</t>
    </r>
  </si>
  <si>
    <t>Si en el campo 64 (ESTADOPRE-IN) envia 05, enviar la calificación si lo tiene o el default.
Si en el campo 64 (ESTADOPRE-IN) se envia 01, 02 o 06, enviar el default.</t>
  </si>
  <si>
    <t>SIGACRE-X-APLI</t>
  </si>
  <si>
    <t>Signo Valor acumulado en acreedores varios pendiente por aplicar</t>
  </si>
  <si>
    <t>VALACRVAR-IN</t>
  </si>
  <si>
    <t>Valor acumulado en acreedores varios pendiente por aplicar</t>
  </si>
  <si>
    <t>NO SE REGISTRO DEFAULT</t>
  </si>
  <si>
    <t>Por Default entregar 0 (Ceros)</t>
  </si>
  <si>
    <t>FECAPLIACR-IN</t>
  </si>
  <si>
    <t>Fecha constitucion acreedor.  Si no se puede obtener se envía fecha ultimo abono recibido del cliente</t>
  </si>
  <si>
    <r>
      <t xml:space="preserve">Por Default entregar </t>
    </r>
    <r>
      <rPr>
        <sz val="11"/>
        <rFont val="Calibri"/>
        <family val="2"/>
        <scheme val="minor"/>
      </rPr>
      <t>0 (Ceros)</t>
    </r>
  </si>
  <si>
    <t>USRVTAPRE-IN</t>
  </si>
  <si>
    <t>Usuario que consiguio el cliente del credito</t>
  </si>
  <si>
    <t>FECCUBMOR-IN</t>
  </si>
  <si>
    <t>Fecha hasta donde esta cubierta la mora, causada en vencimiento total</t>
  </si>
  <si>
    <t>CODCONVEN-IN</t>
  </si>
  <si>
    <t>Código del convenio si el Prestamo fue desembolsado por opcion convenios</t>
  </si>
  <si>
    <t xml:space="preserve">
NO SE REGISTRO DEFAULT</t>
  </si>
  <si>
    <t>SENTIPSEG-IN</t>
  </si>
  <si>
    <t>Señal tipo de seguro Anticipado-Por cuotas-Externo</t>
  </si>
  <si>
    <t>0: Seguro no anticipado
1: Seguro anticipado
Default 0</t>
  </si>
  <si>
    <t>Siempre enviar cero</t>
  </si>
  <si>
    <t>0: Seguro no anticipado
1: Seguro anticipado</t>
  </si>
  <si>
    <t>SIGVAL-SEG-ANT</t>
  </si>
  <si>
    <t xml:space="preserve">Signo Seguro Valor seguro descontado en desembolso.  </t>
  </si>
  <si>
    <t xml:space="preserve">
SIGNO ERRADO</t>
  </si>
  <si>
    <r>
      <t xml:space="preserve">Por Default entregar + </t>
    </r>
    <r>
      <rPr>
        <sz val="11"/>
        <rFont val="Calibri"/>
        <family val="2"/>
        <scheme val="minor"/>
      </rPr>
      <t>(Positivo)</t>
    </r>
  </si>
  <si>
    <t>default</t>
  </si>
  <si>
    <t>VALSEGANT-IN</t>
  </si>
  <si>
    <t xml:space="preserve">Valor seguro descontado en desembolso.  </t>
  </si>
  <si>
    <r>
      <t xml:space="preserve">Si cuenta con un seguro (gasto) descontado en el desembolso.
EJ: Pago unico del FNG.
De lo contrario enviar el default
Si en el campo </t>
    </r>
    <r>
      <rPr>
        <u/>
        <sz val="11"/>
        <rFont val="Calibri"/>
        <family val="2"/>
        <scheme val="minor"/>
      </rPr>
      <t>Señal tipo de seguro Anticipado-Por cuotas-Externo</t>
    </r>
    <r>
      <rPr>
        <sz val="11"/>
        <rFont val="Calibri"/>
        <family val="2"/>
        <scheme val="minor"/>
      </rPr>
      <t xml:space="preserve"> se registro 1 este campo debe ser mayor a cero, dado que se usaría para calcular la devolucion en caso Prepago.
Default cero</t>
    </r>
  </si>
  <si>
    <t xml:space="preserve">
VALOR ERRADO</t>
  </si>
  <si>
    <t>Si cuenta con un seguro (gasto) descontado en el desembolso.
EJ: Pago unico del FNG.
De lo contrario enviar el default
Si en el campo 87 (SENTIPSEG-IN) se registro 1 este campo debe ser mayor a cero, dado que se usaría para calcular la devolucion en caso Prepago.</t>
  </si>
  <si>
    <t>CODCONCES-IN</t>
  </si>
  <si>
    <t>Código del concesionario para linea vehiculos</t>
  </si>
  <si>
    <t>En estos campos siempre deben registrar el default</t>
  </si>
  <si>
    <t>CODVENVEH-IN</t>
  </si>
  <si>
    <t>Código vendedor Vehiculo</t>
  </si>
  <si>
    <t>CODEJECTA-IN</t>
  </si>
  <si>
    <t>Código ejecutivo de cuenta Vehiculo</t>
  </si>
  <si>
    <t>SIGVCOM-CONC-VEHI</t>
  </si>
  <si>
    <t xml:space="preserve">Signo Valor Comision del concesionario en unidad de vehiculo </t>
  </si>
  <si>
    <t>VALCOMCONC-IN</t>
  </si>
  <si>
    <t xml:space="preserve">Valor Comision del concesionario en unidad de vehiculo </t>
  </si>
  <si>
    <t>SIGVCOM-VEND-VEHI
SigValCanExt</t>
  </si>
  <si>
    <t xml:space="preserve">
Signo Valor Canon Extraordinario</t>
  </si>
  <si>
    <t>VALCOMVEND-IN
ValCanExt</t>
  </si>
  <si>
    <t>Valor Canon Extraordinario</t>
  </si>
  <si>
    <t>Si es Leasing siempre debe registrar un valor mayor a cero (0) en caso contrario enviar default.
Default (ceros)</t>
  </si>
  <si>
    <t>Si en el campo CODLINCRE-IN se registra ("117","091", "092", "093", "094", "095", "096", "118") se debe diligenciar un valor mayor a cero,
Si tiene cero o no registra valor enviar mensaje de error - "NO SE REGISTRO CANON EXTRA"
Si en el campo CODLINCRE-IN es diferente a las lineas mencionadas este campo debe ir en cero.</t>
  </si>
  <si>
    <t>Si es Leasing siempre debe registrar un valor mayor a cero (0) en caso contrario envir Default</t>
  </si>
  <si>
    <t>SENVARDTF-IN</t>
  </si>
  <si>
    <t xml:space="preserve">Indica si el credito tiene control de tasa por la variacion del DTF </t>
  </si>
  <si>
    <t>Estos campos siempre deben venir con el defautl, si no es asi, enviar error "NO SE REGISTRO DEFAULT"</t>
  </si>
  <si>
    <t>Ceros</t>
  </si>
  <si>
    <t>Enviar en cero</t>
  </si>
  <si>
    <t>VALDTFACT-IN</t>
  </si>
  <si>
    <t>Valor DTF Base para Control</t>
  </si>
  <si>
    <t>FECDTFACT-IN</t>
  </si>
  <si>
    <t>Fecha del DTF actual para control de tasa</t>
  </si>
  <si>
    <t>CODSEG1-IN</t>
  </si>
  <si>
    <t>Código cargo fijo para seguro vida consumo</t>
  </si>
  <si>
    <t>FIN - Seguro de vida
Default Ceros
En el caso de Vivienda y Leasing Habitacional enviar ceros.</t>
  </si>
  <si>
    <t xml:space="preserve">
Si el CampoTIP-POLIZA se encuentra "I" interno:
* Los campos del 100 al 103, 211,278 y 292 son obligatorios (cuando en el campo CODLINCRE-IN sea diferente a= "117, 118, 119") si no llegan se debe generar el siguiente error 
"FALTA INFORMACION DEL SEGURO DE VIDA INTERNO".
Si el tipo de poliza es externo (CampoTIP-POLIZA se encuentra "E"), es M = empleado o E= exonerado  los campos del 101 al 103, 211, 292,278 van con el default, de lo contrario generar error "INFORMACION NO CORRESPONDE CON TIPO DE POLIZA"</t>
  </si>
  <si>
    <t>Información para seguro de vida consumo</t>
  </si>
  <si>
    <t>FIN - Seguro de vida
Default Ceros</t>
  </si>
  <si>
    <t>Se debe registrar FIN
En el caso de Vivienda y Leasing  Habitacional enviar ceros.</t>
  </si>
  <si>
    <t>SIGVAL1-SEG-IN</t>
  </si>
  <si>
    <t>Signo Vlr o porcentaje para liquidación del seguro</t>
  </si>
  <si>
    <t>VALSEG1-IN</t>
  </si>
  <si>
    <t>Valor para liquidación del seguro de vida consumo</t>
  </si>
  <si>
    <t>El campo debe ser mayor a cero.
Si el seguro es un valor fijo es obligatorio este campo, el valor debe incluir la extraprima en caso de existir.
Adicional en el campo Tarifa de extraprima seguro de vida, se debe registrar la tarifa de la extraprima.
Si el seguro no es valor fijo o es un producto de vivienda enviar ceros
Rellenar con ceros a la izquierda hasta completar el total del campo.
Si es un porcentaje se debe registrar el valor en el campo porcentaje seguro.</t>
  </si>
  <si>
    <t>Si el seguro es un valor fijo es obligatorio este campo, el valor debe incluir la extraprima en caso de existir
Si el seguro no es valor fijo o es un producto de vivienda o Leasing habitacional enviar ceros
Rellenar con ceros a la izquierda hasta completar el total del campo.
Si es un porcentaje se debe registrar el valor en el campo 211 (PORC-SEG)</t>
  </si>
  <si>
    <t>TIP-SEG1-IN</t>
  </si>
  <si>
    <t>Tipo de seguro que identifica la forma de liquidación consumo</t>
  </si>
  <si>
    <t>Siempre enviar default - 9</t>
  </si>
  <si>
    <t>9 - Default</t>
  </si>
  <si>
    <t>Siempre enviar 9.</t>
  </si>
  <si>
    <t>CODSEG2-IN</t>
  </si>
  <si>
    <t xml:space="preserve">Código cargo fijo para seguro vida vivienda </t>
  </si>
  <si>
    <t>FL1 - Seguro de vida para vivienda
Default Ceros
Para Vivienda y Leasing Habitacional Familiar y no Familiar se debe registrar FL1.
Con esta marca el primer titular queda con el cobro seguro de vida.
Si es un empleado de  o cliente exonerado este campo debe llegar con el default.</t>
  </si>
  <si>
    <t>Si el Campo TIP-POLIZAT1 se encuentra "I" interno o "E" Externo, el campo 104 debe llegar FL1.
"FALTA INFORMACION DE SEGURO DE VIDA VIVIENDA"
Si en el campo TIP-POLIZAT1 se encuentra "I" interno,  Los campos del 104 al 107, 212,292 son obligatorios si no llegan se debe generar el siguiente error 
"FALTA INFORMACION DEL SEGURO DE VIDA INTERNO".
Si el campo tipo de poliza (Campo TIP-POLIZAT1 se encuentra), es M=empleado o X=exonerado  los campos del 104 al 107, 212 van con el default, de lo contrario generar error "INFORMACION NO CORRESPONDE CON TIPO DE POLIZA"</t>
  </si>
  <si>
    <t>Información seguro Vida vivienda</t>
  </si>
  <si>
    <t>FL1 - Seguro de vida para vivienda
Default Ceros</t>
  </si>
  <si>
    <t>Para Vivienda y Leasing Habitacional Familiar y no Familiar (campo CODLINCRE-IN= 117, 119, 118) se debe registrar FL1.
Para los demás productos enviar ceros
Con esta marca el primer titular queda con el cobro seguro de vida.
Si es un empleado de  o cliente exonerado este campo debe llegar con el default.</t>
  </si>
  <si>
    <t>SIGVAL2-SEG-IN</t>
  </si>
  <si>
    <t>VALSEG2-IN</t>
  </si>
  <si>
    <t>Valor para liquidación del seguro vida vivienda</t>
  </si>
  <si>
    <t>Rellenar con ceros a la izquierda hasta completar el total del campo.
Default Ceros</t>
  </si>
  <si>
    <t>Siempre debe llega el default.</t>
  </si>
  <si>
    <t>Siempre enviar el Default.</t>
  </si>
  <si>
    <t>TIP-SEG2-IN</t>
  </si>
  <si>
    <t>Tipo de seguro que identifica la forma de liquidación vivienda</t>
  </si>
  <si>
    <t>CODSEG3-IN</t>
  </si>
  <si>
    <t>Código cargo fijo para seguro todo riesgo vehiculo, Leasing, Libre destino (construcción en terreno propio)</t>
  </si>
  <si>
    <t>FLT - Todo Riesgo leasing
FS2 - Todo riesgo vehiculo
FTR - Todo riesgo constructor (construcción en terreno propio)
Para los demás productos registrar ceros
Default Ceros</t>
  </si>
  <si>
    <t xml:space="preserve">Para créditos que en el campo 10 (CODLINCRE-IN) se registre "015, 091, 092, 093, 094, 095, 096" si cuenta con poliza Interna (TIP-POLIZA4 = I) se debe registrar  FLT.
Para los demás productos o los que tengan poliza Externa (TIP-POLIZA4 = E) registrar ceros.
"CODIGO PARA CARGO NO CORRESPONDE A TIPO DE POLIZA"
Si en el campo 224 - TIP-POLIZA4 se registro E, los campos del 108 al 111 deben llegar con el default. De lo contrario enviar error:
"SE ESTA REGISTRANDO INFORMACION PARA UN SEGURO EXTERNO"
</t>
  </si>
  <si>
    <t>Información Seguro de todo riesgo vehículos</t>
  </si>
  <si>
    <t>FLT - Todo Riesgo leasing
FS2 - Todo riesgo vehculo
FTR - Todo riesgo constructor (construcción en terreno propio)
Default Ceros</t>
  </si>
  <si>
    <r>
      <rPr>
        <sz val="11"/>
        <color rgb="FFFF0000"/>
        <rFont val="Calibri"/>
        <family val="2"/>
        <scheme val="minor"/>
      </rPr>
      <t xml:space="preserve">
</t>
    </r>
    <r>
      <rPr>
        <sz val="11"/>
        <color theme="1"/>
        <rFont val="Calibri"/>
        <family val="2"/>
        <scheme val="minor"/>
      </rPr>
      <t xml:space="preserve">Para crédito de Vehículos o Leasing Financiero (CODLINCRE-IN "015, 091, 092, 093, 094, 095, 096") si cuenta con poliza Interna (TIP-POLIZA4) se debe registrar  FLT, FS2 o FTR (segun corresponda).
Para los demás productos o los que tengan poliza Externa (TIP-POLIZA4) registrar ceros
</t>
    </r>
  </si>
  <si>
    <t>SIGVAL3-SEG-IN</t>
  </si>
  <si>
    <t>VALSEG3-IN</t>
  </si>
  <si>
    <t>Valor para liquidación del seguro todo riesgo vehiculo</t>
  </si>
  <si>
    <t>Enviar el valor fijo de cobro para seguro todo riesgo vehículos, Leasing Financiero o Libre destino (construcción en terreno propio).
Para productos diferentes a vehículos enviar ceros
Rellenar con ceros a la izquierda hasta completar el total del campo.
Default Ceros</t>
  </si>
  <si>
    <t>Si en el campo CODSEG3-IN se registro FLT, en este campo se debe enviar un valor mayor a cero, de lo contrario,
"FALTA VALOR DE COBRO DE SEGURO"</t>
  </si>
  <si>
    <t>Enviar el valor fijo de cobro para seguro todo riesgo vehiculo o Leasing financiero.
Para productos diferentes a vehículos enviar ceros
Rellenar con ceros a la izquierda hasta completar el total del campo.
Default Ceros</t>
  </si>
  <si>
    <t>TIP-SEG3-IN</t>
  </si>
  <si>
    <t>Tipo de seguro que identifica la forma de liquidación Todo riesgo vehiculo</t>
  </si>
  <si>
    <t>Siempre se debe enviar 9.</t>
  </si>
  <si>
    <t>siempre debe enviar 9.</t>
  </si>
  <si>
    <t>CODSEG4-IN</t>
  </si>
  <si>
    <t>Código cargo fijo para seguro de Incendio y Terremoto</t>
  </si>
  <si>
    <t xml:space="preserve">FIT - Seguro de incendio y terremoto (aplica únicamente para operaciones de vivienda y Leasing habitacional)
Default Ceros
</t>
  </si>
  <si>
    <t>Para los productos que en el campo (CODLICRE-IN - 10)  se registra "117, 118, 119", y en el campo TIP-POLIZA se registra I (Interna) o E (Externa), se debe enviar siempre FIT, de lo contrario enviar error:
Error: DEBE RELACIONAR INFORMACION DEL SEGURO DE INC Y TERR.
Para los productos que en el campo (CODLICRE-IN - 10)  se registra "117, 118, 119", y en el campo TIP-POLIZA se registra M (Empleado) o X (Exonerado), se debe enviar siempre default, de lo contrario generar error:
Error: NO SE DEBE RELACIONAR INFORMACION DEL SEGURO DE INC Y TERR.</t>
  </si>
  <si>
    <t xml:space="preserve">Si se registra seguro de incendio y terremoto, se debe registrar los campos 213 (PORC-SEGV), 214 (VAL-AVAL) y 215 (TIP-SEGU2) </t>
  </si>
  <si>
    <t xml:space="preserve">FIT - Seguro de incendio y terremoto
Default Ceros
</t>
  </si>
  <si>
    <t>Se debe registrar el nemónico FIT, (aplica unicamente para operaciones de vivienda y Leasing habitacional, (CODLICRE-IN - 10)  se registra "117, 118, 119").
Si es un empleado de  o cliente exonerado este campo debe llegar con el default.
Para los demás productos enviar ceros</t>
  </si>
  <si>
    <t>SIGVAL4-SEG-IN</t>
  </si>
  <si>
    <t>VALSEG4-IN</t>
  </si>
  <si>
    <t>Valor para liquidación del seguro de Incendio y Terremoto</t>
  </si>
  <si>
    <t>Enviar el valor fijo de cobro para seguro incendio y terremoto de vivienda o Leasing habitacional, (codigo de linea)  se registra "117, 118, 119").
Rellenar con ceros a la izquierda hasta completar el total del campo.
Si es un empleado de  o cliente exonerado este campo debe llegar con el default.
Default ceros</t>
  </si>
  <si>
    <t>Para los productos que en el campo (CODLICRE-IN - 10)  se registra "117, 118, 119", y en el campo TIP-POLIZA se registra I (Interna), se debe enviar el valor del seguro, de lo contrario enviar error:
Error: DEBE RELACIONAR VALOR DEL SEGURO DE INC Y TERR.
Para los productos que en el campo (CODLICRE-IN - 10)  se registra "117, 118, 119", y en el campo TIP-POLIZA se registra E (Externa), M (Empleado) o X (Exonerado), se debe enviar siempre default, de lo contrario generar error:
Error: NO SE DEBE RELACIONAR VALOR DEL SEGURO DE INC Y TERR.</t>
  </si>
  <si>
    <t>Valor
Default ceros</t>
  </si>
  <si>
    <t xml:space="preserve">Enviar el valor fijo de cobro para seguro incendio y terremoto de vivienda o Leasing habitacional, (CODLICRE-IN - 10)  se registra "117, 118, 119").
Rellenar con ceros a la izquierda hasta completar el total del campo.
Si es un empleado de  o cliente exonerado este campo debe llegar con el default.
</t>
  </si>
  <si>
    <t>TIP-SEG4-IN</t>
  </si>
  <si>
    <t>Tipo de seguro que identifica la forma de liquidación Incendio y Terremoto</t>
  </si>
  <si>
    <t>CODSEG5-IN</t>
  </si>
  <si>
    <t>Código cargo fijo para cuota de manejo (Aplica para credito Rotativo) campo Código linea = 014</t>
  </si>
  <si>
    <t xml:space="preserve">Si es un crédito rotativo (código linea 014), y tiene cobro de cuota de manejo se debe enviar FCM - Cuota de Manejo, de lo contrario enviar el default.
FCM - Cuota de Manejo
Default Ceros.
</t>
  </si>
  <si>
    <t>Para los productos que en la campo (CODLICRE-IN - 10)  se registra "014" y en el campo EXCCOBRO se registro Y, debe registrar los default en estos campos, de lo contrario:
Error: CREDITO EXENTO DE CUOTA DE MANEJO.
Para los productos que en la campo (CODLICRE-IN - 10)  se registra "014" y en el campo EXCCOBRO se registro N se debe registrar informacion de gasto de cuota de manejo, de lo contrario:
Error: FALTA INFORMACION PARA COBRO DE CUOTA DE MANEJO
Para los demas productos estos campos van con el default.
Error: PRODUCTO NO DEBE TENER CUOTA DE MANEJO</t>
  </si>
  <si>
    <t>Cuota de Manejo
(Credito Rotativo)</t>
  </si>
  <si>
    <t xml:space="preserve">FCM - Cuota de Manejo
Default Ceros
</t>
  </si>
  <si>
    <t>Se debe registrar el nemónico FCM, (aplica unicamente para operaciones rotativo, (CODLICRE-IN - 10)  se registra "014").
Para los demás productos enviar ceros</t>
  </si>
  <si>
    <t>SIGVAL5-SEG-IN</t>
  </si>
  <si>
    <t>VALSEG5-IN</t>
  </si>
  <si>
    <t>Valor comision de la cuota de manejo</t>
  </si>
  <si>
    <t>Si en el campo código de cargo fijo rotativo se registro FCM, en este campo se debe enviar el valor fijo de cobro de cuota de manejo.
Para los demas productos enviar el default.
Rellenar con ceros a la izquierda hasta completar el total del campo.
Default Ceros</t>
  </si>
  <si>
    <t xml:space="preserve">Si en el campo (116 - CODSEG5-IN) se registro FCM, en este campo se debe enviar el valor fijo de cobro de cuota de manejo.
Rellenar con ceros a la izquierda hasta completar el total del campo.
</t>
  </si>
  <si>
    <t>TIP-SEG5-IN</t>
  </si>
  <si>
    <t>Cogido de Cuota de manejo</t>
  </si>
  <si>
    <t>CODSEG6-IN</t>
  </si>
  <si>
    <t>Código cargo fijo para seguro voluntario (Seguro de desempleo)</t>
  </si>
  <si>
    <t>FVD - Seguro de desempleo vivienda y Leasing hab.
Default ceros</t>
  </si>
  <si>
    <t>Si se registra FVD en este campo, se debe validar que el campo (CODLICRE-IN - 10)  se registra "117, 118, 119", de lo contrario:
"SEGURO VOLUNTARIO NO CORRESPONDE A LINEA DE CREDITO"</t>
  </si>
  <si>
    <t xml:space="preserve"> Seguro voluntario 1</t>
  </si>
  <si>
    <t>Se debe enviar FVD Para seguro desempleo de vivienda o Leasing habitacional, (CODLICRE-IN - 10)  se registra "117, 118, 119").
Para los demás productos enviar ceros.</t>
  </si>
  <si>
    <t>SIGVAL6-SEG-IN</t>
  </si>
  <si>
    <t>Signo Vlr o porcentaje para liquidación del seguro voluntario (Seguro de desempleo)</t>
  </si>
  <si>
    <t>VALSEG6-IN</t>
  </si>
  <si>
    <t>Valor para liquidación de seguro voluntario (Seguro de desempleo)</t>
  </si>
  <si>
    <t xml:space="preserve">Si en el campo "Código cargo fijo para seguro  de desempleo Vivienda y leasing hab." se registro FVD  y el seguro es un valor, enviar en este campo dicho valor.
Si no tiene seguro de desempleo registrar ceros.
Default ceros
</t>
  </si>
  <si>
    <t>Si en el campo 120 CODSEG6-IN se registra FVD en este campo siempre debe venir un valor mayor a cero, de lo contrario
Error: FALTA VALOR PARA COBRO DE SEGURO VOLUNTARIO</t>
  </si>
  <si>
    <t>Si en el campo CODSEG6-IN se registro FVD  se debe enviar el valor fijo de cobro del seguro de desempleo para vivienda o Leasing hab.
Si tiene no seguro de desempleo registrar ceros.</t>
  </si>
  <si>
    <t>TIP-SEG6-IN</t>
  </si>
  <si>
    <t>Tipo de seguro que identifica la forma de liquidación de seguro voluntario (Seguro de desempleo)
Código de producto</t>
  </si>
  <si>
    <t>CODSEG7-IN</t>
  </si>
  <si>
    <t>Código cargo fijo para seguro para otros seguros</t>
  </si>
  <si>
    <t>FSA - Seguro de desempleo consumo.
Aplica para vivienda o Leasing habitacionalconsumo, donde la linea de crédito sea diferente de (codigo de linea)  se registra "117, 118, 119").
Default ceros</t>
  </si>
  <si>
    <t>Si se registra FDY en este campo, se debe validar que el campo sea diferente a los codigos de linea (CODLICRE-IN - 10)  "117, 118, 119", de lo contrario:
"SEGURO VOLUNTARIO NO CORRESPONDE A LINEA DE CREDITO"</t>
  </si>
  <si>
    <t>Seguro Voluntario 2</t>
  </si>
  <si>
    <t>FSA - Seguro de desempleo consumo
Default ceros</t>
  </si>
  <si>
    <t>Se debe enviar FDY Para seguro desempleo de vivienda o Leasing habitacionalconsumo, donde la linea de crédito sea diferente de (CODLICRE-IN - 10)  se registra "117, 118, 119").
Para los demás productos enviar ceros.</t>
  </si>
  <si>
    <t>SIGVAL7-SEG-IN</t>
  </si>
  <si>
    <t>VALSEG7-IN</t>
  </si>
  <si>
    <t>Valor o porcentaje para liquidación de otros seguros</t>
  </si>
  <si>
    <t xml:space="preserve">Si en el campo "Código cargo fijo para seguro  de desempleo consumo." se registro FSA  y el seguro es un valor, enviar en este campo dicho valor.
Si tiene no seguro de desempleo registrar ceros.
Default ceros.
</t>
  </si>
  <si>
    <t>Si en el campo 124 CODSEG7-IN se registra FDY en este campo siempre debe venir un valor mayor a cero, de lo contrario
Error: FALTA VALOR PARA COBRO DE SEGURO VOLUNTARIO</t>
  </si>
  <si>
    <t>Si en el campo CODSEG7-IN se registro FDY  se debe enviar el valor fijo de cobro del seguro de desempleo para consumo.
Si tiene no seguro de desempleo registrar ceros.</t>
  </si>
  <si>
    <t>TIP-SEG7-IN</t>
  </si>
  <si>
    <t>Tipo de seguro que identifica la forma de liquidación de  seguro voluntario Seguro de desempleo Consumo</t>
  </si>
  <si>
    <t xml:space="preserve">
SigValOpcCom</t>
  </si>
  <si>
    <t xml:space="preserve">
Signo Valor Opción de Compra</t>
  </si>
  <si>
    <t xml:space="preserve">
ValOpcCom</t>
  </si>
  <si>
    <t xml:space="preserve">
Valor Opción de Compra</t>
  </si>
  <si>
    <t>Para operaciones de Leasing Habitacional y Leasing Financiero enviar el valor de la opción de compra
Rellenar con ceros a la izquierda hasta completar el total del campo.
Para otros productos enviar en ceros
Default ceros</t>
  </si>
  <si>
    <t>Para los productos que en la campo (CODLICRE-IN - 10)  se registra "91, 92, 93, 94, 95, 96, 117, 118", deben enviar un valor mayor a cero.
Error: NO SE REGISTRO OPCION DE COMPRA</t>
  </si>
  <si>
    <t>Para operaciones de Leasing Habitacional y Leasing Financiero enviar el valor de la opción de compra
Rellenar con ceros a la izquierda hasta completar el total del campo.
Para otros productos enviar en ceros</t>
  </si>
  <si>
    <t>SIGVAL-OTR-CON</t>
  </si>
  <si>
    <t>Signo Valor otros conceptos adeudados para cobrar en la cuota mas vencida</t>
  </si>
  <si>
    <t>VALOTRCON-IN</t>
  </si>
  <si>
    <t>Valor otros conceptos adeudados para cobrar en la cuota mas vencida (Diferente a seguros)</t>
  </si>
  <si>
    <t>Siempre en Ceros</t>
  </si>
  <si>
    <t>SENPRERES-IN</t>
  </si>
  <si>
    <t>Señal de que el prestamo es una reestructuracion</t>
  </si>
  <si>
    <t>Si en el campo estado del préstamo se registró 05 (reestructurado), se debe enviar 1, de lo contrario enviar 0.
1 Reestructurado                                              
0 No reestructurado</t>
  </si>
  <si>
    <t>1 Reestructurado                                              
0 No reestructurado</t>
  </si>
  <si>
    <t>Si en el campo 64 ESTADOPRE-IN se registró 05, se debe enviar 1, de lo contrario enviar 0.</t>
  </si>
  <si>
    <t>RESTRCTRO-IN</t>
  </si>
  <si>
    <t>Número del pagare que se reestructuró</t>
  </si>
  <si>
    <t>Si el campo anterior señal del préstamo registro número crédito reestructurado ingresar el número del pagare si lo tienen, de lo contrario enviar ceros 
Rellenar con ceros a la izquierda hasta completar el campo
Default 0 (Cero)</t>
  </si>
  <si>
    <r>
      <t xml:space="preserve">Por default </t>
    </r>
    <r>
      <rPr>
        <sz val="11"/>
        <rFont val="Calibri"/>
        <family val="2"/>
        <scheme val="minor"/>
      </rPr>
      <t>0 (Cero)</t>
    </r>
  </si>
  <si>
    <t>Si el campo anterior 132 (SENPRERES-IN) registro número crédito reestructurado ingresar el numero del pagare si lo tienen, de lo contrario enviar ceros 
Rellenar con ceros a la izquierda hasta completar el campo</t>
  </si>
  <si>
    <t>NUMRESPRE-IN</t>
  </si>
  <si>
    <t>Número de reestructuraciones acumuladas</t>
  </si>
  <si>
    <t>Si el crédito ha sido reestructurado una (1) o más veces este campo debe ser mayor cero (0) si lo tienen, en caso contrario enviar ceros
Rellenar con cero a la izquierda.
Número
Default Cero</t>
  </si>
  <si>
    <t>Si es credito ha sido reestructurado una (1) o más veces este campo debe ser mayor cero (0) si lo tienen, en caso contrario enviar ceros
Rellenar con cero a la izquierda.</t>
  </si>
  <si>
    <t>SIGVAL-DIFERIDO</t>
  </si>
  <si>
    <t>Signo Saldo de diferidos atados a las reestructuraciones pendiente por amortizar</t>
  </si>
  <si>
    <t>VALDIFER-IN</t>
  </si>
  <si>
    <t>Saldo de diferidos atados a las reestructuraciones pendiente por amortizar</t>
  </si>
  <si>
    <t>Siempre enviar en ceros</t>
  </si>
  <si>
    <t>Valor o Ceros</t>
  </si>
  <si>
    <t>SENFACTUR-IN</t>
  </si>
  <si>
    <t>Señal para facturar o No</t>
  </si>
  <si>
    <t xml:space="preserve">Siempre enviar 1.
1 si Factura                                            </t>
  </si>
  <si>
    <t xml:space="preserve">
1 si Factura                                            </t>
  </si>
  <si>
    <t>Siempre enviar 1</t>
  </si>
  <si>
    <t>SENEXTPRI-IN</t>
  </si>
  <si>
    <t>Señal de seguro de vida extraprimado</t>
  </si>
  <si>
    <t>Si el crédito cuenta con extraprima (seguro de vida) registrar 1 de lo contrario enviar 0.
1 Extra Primado                                             
0 No Extra Primado</t>
  </si>
  <si>
    <t>1 Extra Primado                                             0 No Extra Primado</t>
  </si>
  <si>
    <t xml:space="preserve">Si el credito cuenta con extraprima (seguro de vida) registrar 1 de lo contrario enviar 0.
</t>
  </si>
  <si>
    <t>NUMSOLMTZ-IN</t>
  </si>
  <si>
    <t>Número de solicitud en mantiz</t>
  </si>
  <si>
    <t>Por default (Ceros)</t>
  </si>
  <si>
    <t>SENABOEXT-IN</t>
  </si>
  <si>
    <t>Señal de abogado externo</t>
  </si>
  <si>
    <t>Por default  (cero)</t>
  </si>
  <si>
    <t>PROCJURID-IN</t>
  </si>
  <si>
    <t>Señal que indica si el crédito se encuentra en algun proceso de Ley</t>
  </si>
  <si>
    <t>Si el crédito esta marcado con alguna Ley, enviar el código que corresponda, de lo contrario enviar el default.
Ley 1116
A -  Etapa de Tramite 
B -  Etapa de Aprobado
C -  Etapa de Liquidado
Ley 550
D - Etapa de Tramite
E - Etapa de Aprobado
F - Etapa de Liquidado
Ley 1564
G - Etapa de Tramite
H - Etapa de Aprobado
I - Etapa de Liquidado
Victima
J - Delito del secuestro
K - Emergencias ecologicas
L - Victima del desplazamiento forzado
M - Victima de la violencia
N - Emergencias humanitaria en frontera
Superintendencia
O - Modificados según aplicación CE026 y CE016 Superintendencia
P - Reestructurados según aplicación CE026 y CE016 Superintendencia
Default " "</t>
  </si>
  <si>
    <t>Proceso de Ley en el que se encuentra</t>
  </si>
  <si>
    <t>PROC DE LEY</t>
  </si>
  <si>
    <t>Solo se puede permitir el codigo de la comuna F, o el default, de lo contrario generar 
Error: DATO INVALIDO</t>
  </si>
  <si>
    <t>Asociado a campo SENACTADM-IN (56)</t>
  </si>
  <si>
    <t>Ley 1116
A -  Etapa de Tramite 
B -  Etapa de Aprobado
C -  Etapa de Liquidado
Ley 550
D - Etapa de Tramite
E - Etapa de Aprobado
F - Etapa de Liquidado
Ley 1564
G - Etapa de Tramite
H - Etapa de Aprobado
I - Etapa de Liquidado
Victima
J - Delito del secuestro
K - Emergencias ecologicas
L - Victima del desplazamiento forzado
M - Victima de la violencia
N - Emergencias humanitaria en frontera
Superintendencia
O - Modificados según aplicación CE026 y CE016 Superintendencia
P - Reestructurados según aplicación CE026 y CE016 Superintendencia
S - Normal
Q - Juridico
R - Pre- Juridico
Default " "</t>
  </si>
  <si>
    <t>SENSUSPCAU-IN</t>
  </si>
  <si>
    <t>Senal suspension causacion</t>
  </si>
  <si>
    <t>En este campo se debe enviar la señal de suspensiòn que presenta el crédito en el momento de la migraciòn.
Si el crédito no ha causado en cuentas de orden enviar 0.
Si el crédito ha causado 1 vez en cuentas de orden enviar 1.
Si el crédito ha causado mas de 1 vez en cuentas de orden enviar 2.
0 No ha causado en CDO                            
1 Marca Primera Vez en CDO                                            
2 Suspende con un día Mora (Ha estado mas de 1 vez en CDO)</t>
  </si>
  <si>
    <t>0 No ha causado en CDO                            
1 Marca Primera Vez en CDO                                            
2 Suspende con un día Mora (Ha estado mas de 1 vez en CDO)</t>
  </si>
  <si>
    <t>En este campo se debe enviar la señal de suspensiòn que presenta el credito en el momento de la migraciòn.
Si el credito no ha causado en cuentas de orden enviar 0.
Si el credito ha causado 1 vez en cuentas de orden enviar 1.
Si el credito ha causado mas de 1 vez en cuentas de prden enviar 2.</t>
  </si>
  <si>
    <t>NUMAPROBA-IN</t>
  </si>
  <si>
    <t>Número de Aprobación</t>
  </si>
  <si>
    <t>PERGRACIA-IN</t>
  </si>
  <si>
    <t>Periodo de Gracia</t>
  </si>
  <si>
    <t>Si el crédito es un desembolsado nuevo y cuenta con periodos de gracia en la primera o primeras cuotas se debe registrar las cuotas faltantes para iniciar el cobro de la primera cuota. (ej: 1 mes 30 (dias), 2 meses (60 dias) etc), de lo contrario enviar el default.
Default Ceros</t>
  </si>
  <si>
    <t>Si el credito es un desembolsado nuevo y cuenta con periodos de gracia en la primera o primeras cuotas se debe registrar las cuotas faltantes para iniciar el cobro de la primera cuota. (ej: 1 mes 30 (dias), 2 meses (60 dias) etc), de lo contrario enviar el default.
Default Ceros</t>
  </si>
  <si>
    <t>SUBDECONO-IN</t>
  </si>
  <si>
    <t>Subdestino Economico (Aplica para operaciones de Fomento, Findeter, Bancoldes, Finagro)</t>
  </si>
  <si>
    <t>Default Cero</t>
  </si>
  <si>
    <t>Si la compra de cartera es para operaciones de resdecuento (FINAGRO, FINDETER, BANCOLDEX) diligenciar estos campos, de lo contrario enviar default.</t>
  </si>
  <si>
    <t>MARGREDESC-IN</t>
  </si>
  <si>
    <t>Margen de Redescuento (Aplica para operaciones de Fomento, Findeter, Bancoldes, Finagro)</t>
  </si>
  <si>
    <t xml:space="preserve">Para las operaciones de redescuento enviar el margen.
Default ceros. 
</t>
  </si>
  <si>
    <t xml:space="preserve">Para las operaciones de redescuento enviar el margen, sino enviar en ceros. 
</t>
  </si>
  <si>
    <t>CREACTPAS-IN</t>
  </si>
  <si>
    <t>Marcación Crédito Activo o Pasivo(Aplica para operaciones de Fomento, Findeter, Bancoldes, Finagro)</t>
  </si>
  <si>
    <t>Para créditos de Fomento se debe enviar en este campo P o B dependiendo si es parte Activa o Pasiva; para las demas lineas enviar siempre B.
BANCOLDEX - campo (CODLINCRE-IN-10) enviar 240 - Activo (B)
BANCOLDEX - campo (CODLINCRE-IN-10) enviar 240 - Pasivo (P)
FINAGRO - campo (CODLINCRE-IN-10) enviar300 - Activo (B)
FINAGRO - campo (CODLINCRE-IN-10) enviar300 - Pasivo (P)
FINDETER - campo (CODLINCRE-IN-10) enviar250 - Activo (B)
FINDETER - campo (CODLINCRE-IN-10) enviar250 - Pasivo (P)
Default B</t>
  </si>
  <si>
    <t>Si en el campo CODLINCRE-IN se registra 240, 300, 250 debe venir la misma cantidad de resgitros con P y con B,
Error: CREDITO DE FOMENTO FALTA PARTE PASIVA O ACTIVA
Para las demas lineas de crédito este campo debe venir con B, si trae P u otro valor generar error:
Error: CREDITO NO ES DE FOMENTO</t>
  </si>
  <si>
    <t>Pasivo P
Activo o Default B</t>
  </si>
  <si>
    <t>Para creditos de Fomento se debe enviar en este campo P o B dependiendo si es parte Activa o Pasiva; para las demas lineas enviar siempre B.
BANCOLDEX - campo (CODLINCRE-IN-10) enviar 240 - Activo (B)
BANCOLDEX - campo (CODLINCRE-IN-10) enviar 240 - Pasivo (P)
FINAGRO - campo (CODLINCRE-IN-10) enviar300 - Activo (B)
FINAGRO - campo (CODLINCRE-IN-10) enviar300 - Pasivo (P)
FINDETER - campo (CODLINCRE-IN-10) enviar250 - Activo (B)
FINDETER - campo (CODLINCRE-IN-10) enviar250 - Pasivo (P)</t>
  </si>
  <si>
    <t>VLRNETDES-IN</t>
  </si>
  <si>
    <t>Valor neto desembolsado</t>
  </si>
  <si>
    <t>Si no se realizo descuento de gastos, se debe enviar el mismo valor registrado en el campo valor de desembolso.
Rellenar con ceros a la izquierda hasta completar el total del campo. Sin separador de decimales
Default ceros</t>
  </si>
  <si>
    <t>Valor</t>
  </si>
  <si>
    <t>Valor inicial del prestamo campo 28 (VALPRESTA-IN) menos los gastos descontados antes del desembolso = al valor neto desembolsado. 
Si no se realizo descuento de gastos, se debe enviar el mismo valor registrado en el campo 28 (VALPRESTA-IN)
Rellenar con ceros a la izquierda hasta completar el total del campo. Sin separador de decimales</t>
  </si>
  <si>
    <t>ESFNG-IN</t>
  </si>
  <si>
    <t>Señal que indica si el crédito o Leasing es avalado por el FNG</t>
  </si>
  <si>
    <t>Si tiene cobertura del FNG se debe enviar 1, de lo contrario enviar 0.
1 Es avalado FNG                                      
0 No es avalado FNG</t>
  </si>
  <si>
    <t>Si en este campo se registra 1, se debe registrar los campos desde el (TCBCOMFNG-IN - 152) hasta el (CODPROFNG-IN - 159) y el campo (VALABOFNG-IN - 161).
Si se registro 0 se debe enviar el default en los campos desde el (TCBCOMFNG-IN - 152) hasta el (CODPROFNG-IN - 159) y el campo (VALABOFNG-IN - 161).</t>
  </si>
  <si>
    <t>Si el credito tiene cobertura del FNG, registrar los campos 152 (TCBCOMFNG-IN), 153 (FACCOBCOM-IN), 154 (VALCOMFNG-IN), 155 (FECCOMFNG-IN), 156 (NUMGTIAFNG-IN), 157 (CODDESFNG-IN), 158 (CODPROFNG-IN), 159 (VALABOFNG-IN) y 161 (VALABOFNG-IN)</t>
  </si>
  <si>
    <r>
      <t>1</t>
    </r>
    <r>
      <rPr>
        <sz val="11"/>
        <rFont val="Calibri"/>
        <family val="2"/>
        <scheme val="minor"/>
      </rPr>
      <t xml:space="preserve"> Es avalado FNG                                      
0 No es avalado FNG</t>
    </r>
  </si>
  <si>
    <r>
      <rPr>
        <sz val="11"/>
        <color rgb="FFFF0000"/>
        <rFont val="Calibri"/>
        <family val="2"/>
        <scheme val="minor"/>
      </rPr>
      <t xml:space="preserve">
</t>
    </r>
    <r>
      <rPr>
        <sz val="11"/>
        <color theme="1"/>
        <rFont val="Calibri"/>
        <family val="2"/>
        <scheme val="minor"/>
      </rPr>
      <t>Si tiene cobertura del FNG se debe enviar 1, de lo contrario enviar 0.</t>
    </r>
  </si>
  <si>
    <t>ACTECOPRE-IN</t>
  </si>
  <si>
    <t>Actividad economica del credito.
Corresponde a la misma actividad ecomonica del cliente.</t>
  </si>
  <si>
    <t>Corresponde a la misma actividad ecomonica del cliente.
Diferente de Cero</t>
  </si>
  <si>
    <t>Enviar el Código De actividad economica, Anexo CIIU; en el caso de enviar un codigo diferente:
Error: CODIGO CIIU INVALIDO</t>
  </si>
  <si>
    <t>Corresponde a la misma actividad ecomonica del cliente.
Anexo CIIU</t>
  </si>
  <si>
    <t>SENENTTER-IN</t>
  </si>
  <si>
    <t>Señal que indica si el crédito tiene beneficio Frech (Vivienda)</t>
  </si>
  <si>
    <t>Aplica para operaciones de linea vivienda (código 119) y leasing habitacional (código linea 117) (anexo lineas ) y que tienen cobertura frech.
Para las demas lineas enviar en cero (0)
* Para los crèditos que ya finalizo la cobertura de beneficio frech enviar este campo con defautl.
1 - Si tiene Frech
Default  0 (cero)</t>
  </si>
  <si>
    <t>Si en este campo se envia 0, en los campos desde (TIP-FRECH - 227) hasta (FEC-INICOB - 230), se debe enviar los default.
Error: INFORMACION REGISTRADA PARA FRECH NO CORRESPONDE 
Si en este campo se envia 1, se debe registrar en el campo (TIP-FRECH - 227) el tipo de frech.
Error: FALTA INFORMACION PARA TIPO DE FRECH</t>
  </si>
  <si>
    <t>Si la compra de cartera es para operaciones de vivienda y tienen beneficio frech, registrar los campos 218 (TIP-FRECH), 219 (VAL-COB), 220 (PORC-COB),  221 (FEC-INICOB) de lo contrario enviar default.</t>
  </si>
  <si>
    <t>1 - Si tiene Frech
Default  0 (cero)</t>
  </si>
  <si>
    <t>Aplica para operación de linea vivienda (119) y leasing habitacional (117) (anexo lineas ) y que tienen cobertura frech.
Para las demas lineas enviar en cero (0)
* Para los crèditos que ya finalizo la cobertura de beneficio frech enviar este campo con defautl.</t>
  </si>
  <si>
    <t>TCBCOMFNG-IN</t>
  </si>
  <si>
    <t>Forma de cobro de la comision FNG</t>
  </si>
  <si>
    <t>Si el campo Señal que indica que es avalado por el FNG se registra uno (1) se debe enviar la marcacion de uno (1) o dos (2), en caso contrario se debe enviar 0.
0 No FNG                                        
1 Pago unico                                          
2 Anual anticipado
3 Mensual - (Aplica para crédito rotativo)
Default ceros.</t>
  </si>
  <si>
    <t>Si en el campo (ESFNG-IN - 149), se registro 1, en este campo se debe registrar 1, 2 o 3.
Si en el campo (ESFNG-IN - 149), se registro 0, en este campo se debe registrar 0.
Error: FORMA DE COBRO FNG NO VALIDO</t>
  </si>
  <si>
    <t>Asociado al campo 149 (ESFNG-IN)</t>
  </si>
  <si>
    <t xml:space="preserve">0 No FNG                                        
1 Pago unico                                          
2 Anual anticipado
3 Mensual
</t>
  </si>
  <si>
    <t>Si el campo 149 (ESFNG-IN) registra uno (1) se debe enviar la marcacion de uno (1) o dos (2), en caso contrario se debe enviar 0.</t>
  </si>
  <si>
    <t>FACCOBCOM-IN</t>
  </si>
  <si>
    <t>Factor de cobro de comisión FNG</t>
  </si>
  <si>
    <t>3,7</t>
  </si>
  <si>
    <t>Si en el campo  Señal que indica que es avalado por el FNG registra uno (1), se debe enviar el porcentaje de cobro, de lo contrario enviar cero. Ejemplo. Para el producto EMP053 se debe enviar 000035700 
Factor
Default Cero</t>
  </si>
  <si>
    <t>Créditos con productos de FNG</t>
  </si>
  <si>
    <t>Productos_FNG</t>
  </si>
  <si>
    <t>Si en el campo (ESFNG-IN - 149), se registro 1, se debe registrar porcentaje de cobro, validar contra el anexo "Producto FNG", donde el "Código del producto FNG "... ejemplo:  000035700 , pte actualizar.
Si en el campo (ESFNG-IN - 149), se registro 0, en este campo se debe registrar 0.
Error: NO SE REGISTRO PORCENTAJE DE COBRO DE FNG
xx</t>
  </si>
  <si>
    <t>Factor o Cero</t>
  </si>
  <si>
    <t xml:space="preserve">Si en el campo 149 (ESFNG-IN) registra uno (1), se debe enviar el porcentaje de cobro (ver anexo "Producto FNG"), de lo contrario enviar cero. Ejemplo. Para el producto EMP053 se debe enviar 000035700 
</t>
  </si>
  <si>
    <t>SIGVAL-COMI-FNG</t>
  </si>
  <si>
    <t>Signo Valor de la comisión cancelada al Fondo Nacional de Gtias</t>
  </si>
  <si>
    <t>VALCOMFNG-IN</t>
  </si>
  <si>
    <t>Valor de la comisión cancelada al Fondo Nacional de Gtias</t>
  </si>
  <si>
    <t>Si en el campo Señal que indica que es avalado por el FNG se registra uno (1), se debe enviar el valor cancelado al fondo a la fecha de la migraciòn, de lo contrario enviar ceros.
Rellenar con ceros a la izquierda hasta completar el campo
Default Ceros</t>
  </si>
  <si>
    <t>Si en el campo 149 (ESFNG-IN), se registro 1, este campo debe ser mayor a cero, de lo contrario:
"FALTA VALOR DE LA COMISION FNG"</t>
  </si>
  <si>
    <t>Si en el campo 149 (ESFNG-IN) registra uno (1), se debe enviar el valor cancelado al fondo a la fecha de la migraciòn, de lo contrario enviar ceros.
Rellenar con ceros a la izquierda hasta completar el campo</t>
  </si>
  <si>
    <t>FECCOMFNG-IN</t>
  </si>
  <si>
    <t>Fecha del último pago de comisión al FNG</t>
  </si>
  <si>
    <t>Si en el campo  Señal que indica que es avalado por el FNG se registra uno (1), enviar fecha del ultimo pago que cubrio comision del FNG. 
Formato ddmmaaaa
Defautl Ceros</t>
  </si>
  <si>
    <t>Si en el campo 149 (ESFNG-IN) se registro 1, este campo debe registrar una fecha, de lo contrario:
"FALTA FECHA DE ULTIMO PAGO A FNG"</t>
  </si>
  <si>
    <t>Fecha
Default Ceros</t>
  </si>
  <si>
    <t>Si en el campo 149 (ESFNG-IN) registra uno (1), enviar fecha del ultimo pago que cubrio comision del FNG. Formato ddmmaaaa</t>
  </si>
  <si>
    <t>NUMGTIAFNG-IN</t>
  </si>
  <si>
    <t>Número de garantía asignado por el FNG en la reserva de cupo</t>
  </si>
  <si>
    <t>Si en el campo Señal que indica que es avalado por el FNG registra uno (1), enviar el número de garantía que se asigno por el FNG, en caso contrario enviar ceros
Rellenar con ceros a la izquierda hasta completar el campo
Defautl Ceros</t>
  </si>
  <si>
    <t>Si en el campo149 (ESFNG-IN) registra uno (1), enviar el número de garantía que se asigno por el FNG, (diferente de cero), si se envia cero enviar error:
NO SE REGISTRO NUMERO DE GARANTIA FNG</t>
  </si>
  <si>
    <t>Número o Ceros</t>
  </si>
  <si>
    <t>Si en el campo149 (ESFNG-IN) registra uno (1), enviar el número de garantía que se asigno por el FNG, en caso contrario enviar ceros
Rellenar con ceros a la izquierda hasta completar el campo</t>
  </si>
  <si>
    <t>CODDESFNG-IN</t>
  </si>
  <si>
    <t>Código del destino para FNG</t>
  </si>
  <si>
    <t>Si en el campo Señal que indica que es avalado por el FNG registra uno (1), enviar el Código del destino del FNG. 
(Código CIIU), en caso contrario enviar ceros (00)
Defautl Ceros</t>
  </si>
  <si>
    <t>Si en el campo 149 (ESFNG-IN) registra uno (1), enviar el Código del destino del FNG. Anexo CIIU; en el caso de enviar un codigo diferente:
Error: CODIGO DESTINO FNG INVALIDO</t>
  </si>
  <si>
    <t>Código o Ceros</t>
  </si>
  <si>
    <t>Si en el campo 149 (ESFNG-IN) registra uno (1), enviar el Código del destino del FNG. Anexo CIIU, en caso contrario enviar ceros (00)</t>
  </si>
  <si>
    <t>CODPROFNG-IN</t>
  </si>
  <si>
    <t xml:space="preserve">Código del producto FNG 
</t>
  </si>
  <si>
    <t>Si en el campo Señal que indica que es avalado por el FNG se registra 1, enviar el Código del producto del FNG, en caso contrario enviar ceros. 
Default  Ceros</t>
  </si>
  <si>
    <t>Si en el campo ESFNG-IN se registra 1, enviar el Código del producto del FNG (Hoja - Productos_FNG), en el caso de enviar un codigo diferente:
Error: CODIGO PRODUCTO FNG INVALIDO</t>
  </si>
  <si>
    <t xml:space="preserve">Si en el campo ESFNG-IN se registra 1, enviar el Código del producto del FNG (Hoja - Productos_FNG), en caso contrario enviar ceros. </t>
  </si>
  <si>
    <t>SIGVAL-ABON-FNG</t>
  </si>
  <si>
    <t>Signo Saldo del abono realizado por el FNG por Gtia (Aval) pendiente por ser cancelado por el cliente para devolver al FNG</t>
  </si>
  <si>
    <t>VALABOFNG-IN</t>
  </si>
  <si>
    <t>Saldo del abono realizado por el FNG por Gtia (Aval) pendiente por ser cancelado por el cliente para devolver al FNG</t>
  </si>
  <si>
    <t>Si en el campo Señal que indica que es avalado por el FNG registra uno (1), y el crédito presentó una reclamación al FNG, enviar el saldo pendiente por cancelar por parte del cliente. En caso contrario enviar ceros.
Default Ceros</t>
  </si>
  <si>
    <t>El reconocimiento de la reclamacion por parte de la entidad, pago del capital el cual se aplica a la obligacion, y si fue por proceso de recuperacion se traslada la porcion de lospagos recibidos por el cliente al FNG.
Valor o Ceros</t>
  </si>
  <si>
    <t>Si en el campo 149 (ESFNG-IN) registra uno (1), y el crédito presentó una reclamación al FNG, enviar el saldo pendiente por cancelar por parte del cliente. En caso contrario enviar ceros.</t>
  </si>
  <si>
    <t>ESTCAUS-IN</t>
  </si>
  <si>
    <t>Estado en que se encuentra la causacion del crédito a la fecha de migración</t>
  </si>
  <si>
    <t>En este campo se debe enviar el estado de causaciòn con el que se encuentra el crédito en el momento de la migracion.
Si el crédito se encuentra con altura de mora superior a 90 o 60 dias (de acuerdo a la clase de cartera del listado lineas abajo), se debe enviar O, de lo contrario S. (Anexo Lineas ).
S - Causa en PYG                          
O - causa en cuentas de orden
N - No causa
Altura de mora,
Comercial -  mayor a 90 días de mora
Consumo - Mayor a 60 días 
Vivienda - mayor a 60 días</t>
  </si>
  <si>
    <t xml:space="preserve">Si llega en N, no generar validaciones, Si no es N, validar:
Se debe validar la linea registrada en el campo CODLINCRE-IN en el anexo (Lineas , columna CLASE CARTERA), y el campo NUMDIAMOR-IN:
* Si la clase de cartera es Comercial (C) y los numeros de dias de mora son superiores a 90 deben enviar O.
* Si la clase de cartera es Consumo (O) y los numeros de dias de mora son superior a 60 deben enviar O.
* Si la clase de cartera es Vivienda (H) y los numeros de dias de mora son superiores a 60 deben enviar O.
En caso contrario se debe enviar S.
Error: ESTADO DE CAUSACION NO CORRESPONDE AL NUMERO DE DIAS DE MORA Y CLASE DE CARTERA.
</t>
  </si>
  <si>
    <t xml:space="preserve">                                 
S - Causa en PYG                          
O - causa en cuentas de orden
N - No causa
Altura de mora,
Comercial -  mayor a 90 días de mora
Consumo - Mayor a 60 días 
Vivienda - mayor a 60 días</t>
  </si>
  <si>
    <t>En este campo se debe enviar el estado de causaciòn con el que se encuentra el credito en el momento de la migracion.
Si el crédito se encuentra con altura de mora superior a 90 o 60 dias (de acuerdo a la clase de cartera del listado lineas abajo), se debe enviar O, de lo contrario S. (Anexo Lineas ).
Comercial (C) mayor a 90 días de mora
Consumo (O) Mayor a 60 días 
Vivienda (H) mayor a 60 días</t>
  </si>
  <si>
    <t>NOMCIUCLI-IN</t>
  </si>
  <si>
    <t>Nombre ciudad del cliente</t>
  </si>
  <si>
    <t>El nombre no debe tener caracteres especiales, de lo contrario generar mensaje de 
error.CON CARACTERES ESPECIALES
Excepción punto.</t>
  </si>
  <si>
    <t>FECNACCLI-IN</t>
  </si>
  <si>
    <t>Fecha nacimiento del cliente</t>
  </si>
  <si>
    <t>Fecha de nacimiento 
Formato es aaaammdd</t>
  </si>
  <si>
    <t xml:space="preserve">Fecha de nacimiento </t>
  </si>
  <si>
    <t>SEXCLI-IN</t>
  </si>
  <si>
    <t>Sexo cliente</t>
  </si>
  <si>
    <t>U Persona Jurídica                    
M Masculino                                    
F Femenino
Unicos existentes en ALS</t>
  </si>
  <si>
    <r>
      <t xml:space="preserve">U </t>
    </r>
    <r>
      <rPr>
        <sz val="11"/>
        <rFont val="Calibri"/>
        <family val="2"/>
        <scheme val="minor"/>
      </rPr>
      <t>Persona Jurídica                    
M Masculino                                    
F Femenino
Unicos exitentes en ALS</t>
    </r>
  </si>
  <si>
    <t>TIPCUECAR-IN</t>
  </si>
  <si>
    <t>Tipo cuenta para débito automático</t>
  </si>
  <si>
    <t>Dado que la cuenta relacionada es una cta de  relacionar IM en este campo y enviarnos el número de cta en el anexo "CTAS DEBITO_UTILI ROTAT"
ST - Ahorros
IM- Corriente
Default IM</t>
  </si>
  <si>
    <t>Asociado con los campos 54 (SENCARCUE-IN) y (NUMCUECAR-IN)</t>
  </si>
  <si>
    <t>Dado que la cuenta relacionada es una cta de  relacionar IM en este campo y enviarnos el numero de cta en el anexo "Ctas debito auto."
ST - Ahorros
IM- Corriente
Default IM</t>
  </si>
  <si>
    <t xml:space="preserve">Si en el campo 54 (SENCARCUE-IN) registro 1 (tiene cuenta en ) registrar el tipo de cuenta.
Si enviar vacio.
Dado que la cuenta relacionada es una cta de  relacionar 0 en este campo y enviarnos el numero de cta en el anexo "Ctas debito auto."
</t>
  </si>
  <si>
    <t>FECULTCAP-IN</t>
  </si>
  <si>
    <t xml:space="preserve">Fecha último abono a capital.  </t>
  </si>
  <si>
    <t>Registra fecha del último abono a capital que recibió el crédito antes de la migración, en caso contrario enviar en cero (0)
Formato es aaaammdd
Por default (Ceros)</t>
  </si>
  <si>
    <r>
      <t xml:space="preserve">Registra fecha del último abono a capital que recibió el crédito antes de la migración Formato es </t>
    </r>
    <r>
      <rPr>
        <b/>
        <sz val="11"/>
        <rFont val="Calibri"/>
        <family val="2"/>
        <scheme val="minor"/>
      </rPr>
      <t>aaaammdd</t>
    </r>
    <r>
      <rPr>
        <sz val="11"/>
        <rFont val="Calibri"/>
        <family val="2"/>
        <scheme val="minor"/>
      </rPr>
      <t>, en caso contrario enviar en cero (0)</t>
    </r>
  </si>
  <si>
    <t>SIGVAL-ULT-ABON</t>
  </si>
  <si>
    <t>Signo Valor último abono</t>
  </si>
  <si>
    <t>VALULTABO-IN</t>
  </si>
  <si>
    <t>Valor último Abono a capital</t>
  </si>
  <si>
    <t>Registrar el valor del último abono a capital del crédito, en caso contrario enviar en cero (0)
Rellenar con ceros a la izquierda hasta completar el campo
Formato es aaaammdd
Valor
Default Ceros</t>
  </si>
  <si>
    <t>Registrar el valor del último abono a capital del crédito, en caso contrario enviar en cero (0)
Rellenar con ceros a la izquierda hasta completar el campo</t>
  </si>
  <si>
    <t>SEMUSM-IN</t>
  </si>
  <si>
    <t xml:space="preserve">Señal que indica que es crédito para migrar </t>
  </si>
  <si>
    <t>Siempre en vacio</t>
  </si>
  <si>
    <t xml:space="preserve">Vacio </t>
  </si>
  <si>
    <t>CONCAL1-IN</t>
  </si>
  <si>
    <t>Código del concepto de pago 1</t>
  </si>
  <si>
    <t xml:space="preserve">Para cuota fija: Si el crédito en el campo tipo cuota registra F, enviar F (capital+interes) y adicionalmente se debe diligenciar la informacion requerida en los campos: Número de cuotas del calendario 1, Tipo de periodo.  1, amortización del periodo 1, Valor del concepto 1, Fecha de inicio del calendario 1, Fecha final del calendario 1. 
Para cuota variable: Si el campo tipo cuota registra V en este campo se debe enviar P (Capital) y adicionalmente se debe diligenciar la informacion requerida en los campos: Número de cuotas del calendario 2, Tipo de periodo.  2, amortización del periodo 2, Valor del concepto 2, Fecha de inicio del calendario 2, Fecha final del calendario 2. 
F Cuota Fija                                             
P Capital                                           
</t>
  </si>
  <si>
    <t>Si el credito en el campo 14 (TIPCUOTA-IN) registra F siempre debe registrar F,
Si el credito en el campo 14 (TIPCUOTA-IN) registra V siempre debe registrar P:
Error:CONCEPTO DE PAGO NO COINCIDE CON EL TPO DE CUOTA.</t>
  </si>
  <si>
    <t>Asociados los campos 14, 17 y 18</t>
  </si>
  <si>
    <r>
      <t>F</t>
    </r>
    <r>
      <rPr>
        <sz val="11"/>
        <rFont val="Calibri"/>
        <family val="2"/>
        <scheme val="minor"/>
      </rPr>
      <t xml:space="preserve"> Cuota Fija                                             
P Capital                                           
</t>
    </r>
  </si>
  <si>
    <r>
      <rPr>
        <b/>
        <sz val="11"/>
        <color rgb="FF000000"/>
        <rFont val="Calibri"/>
        <family val="2"/>
        <scheme val="minor"/>
      </rPr>
      <t>Para cuota fija:</t>
    </r>
    <r>
      <rPr>
        <sz val="11"/>
        <color rgb="FF000000"/>
        <rFont val="Calibri"/>
        <family val="2"/>
        <scheme val="minor"/>
      </rPr>
      <t xml:space="preserve"> Si el credito en el campo 14 (TIPCUOTA-IN) registra F, enviar F (capital+interes) y adicionalmente se debe diligenciar la informacion requerida en los campos 172 (NCUOCAL1-IN), 173 (TIPPER1-IN), 174 (NMESPER1-IN), 175 (SIGVAL1-CONCEPT), 176 (VALCAL1-IN), 177 (FINICAL1-IN) y 178 (FFINCAL1-IN)
</t>
    </r>
    <r>
      <rPr>
        <b/>
        <sz val="11"/>
        <color rgb="FF000000"/>
        <rFont val="Calibri"/>
        <family val="2"/>
        <scheme val="minor"/>
      </rPr>
      <t>Para cuota variable:</t>
    </r>
    <r>
      <rPr>
        <sz val="11"/>
        <color rgb="FF000000"/>
        <rFont val="Calibri"/>
        <family val="2"/>
        <scheme val="minor"/>
      </rPr>
      <t xml:space="preserve"> Si el campo 14 (TIPCUOTA-IN) registra V en este campo se debe enviar P (Capital) y adicionalmente se debe diligenciar la informacion requerida en los campos 172 (NCUOCAL1-IN), 173 (TIPPER1-IN), 174 (NMESPER1-IN), 175 (SIGVAL1-CONCEPT), 176 (VALCAL1-IN), 177 (FINICAL1-IN) y 178 (FFINCAL1-IN)
</t>
    </r>
    <r>
      <rPr>
        <b/>
        <sz val="11"/>
        <color rgb="FFFF0000"/>
        <rFont val="Calibri"/>
        <family val="2"/>
        <scheme val="minor"/>
      </rPr>
      <t xml:space="preserve">Para operaciones Rotativo: </t>
    </r>
    <r>
      <rPr>
        <sz val="11"/>
        <color rgb="FFFF0000"/>
        <rFont val="Calibri"/>
        <family val="2"/>
        <scheme val="minor"/>
      </rPr>
      <t xml:space="preserve">Si en el campo (CODLINCRE-IN=014), en el campo 14 (TIPCUOTA-IN) registra V, en este campo se debe enviar una P, adicional a esto se debe registrar la informaciòn requerida en los campos siguientes: 
172 (NCUOCAL1-IN),  se debe registrar 999
173 (TIPPER1-IN), siempre M
174 (NMESPER1-IN), se debe enviar la amortización del crédito
175 (SIGVAL1-CONCEPT), siempre default
176 (VALCAL1-IN), el valor se debe definir de acuerdo como funciona la linea rotativo en el banco (10000 o 50000)
177 (FINICAL1-IN), Fecha de inicio del calendario (posterior a la migracion)
178 (FFINCAL1-IN) siempre enviar 31129999
</t>
    </r>
  </si>
  <si>
    <t>NCUOCAL1-IN</t>
  </si>
  <si>
    <t>Número de cuotas del calendario 1</t>
  </si>
  <si>
    <t>Para cuota fija: Si el campo Código del concepto de pago 1 se registra F se debe registrar el número de cuotas pendientes de pagar no vencidas (capital+interés).
Para cuota variable: Si en el campo Código del concepto de pago 1 se registra P se debe registrar el número de cuotas pendientes de pagar para capital no vecidas.
Rellenar con ceros a la izquierda hasta completar el total del campo.  
Diferente de Cero</t>
  </si>
  <si>
    <t>Si el campo 171 (CONCAL1-IN) se registra F, el numero de cuotas que se registra en este campo debe ser el mismo numero de cuotas registrado en el campo 59 (NUMCUOAPA-IN).
Error: NUMERO DE CUOTAS CALENDARIO NO COINCIDE CON NUMERO DE CUOTAS PENDIENTES DE PAGO.</t>
  </si>
  <si>
    <r>
      <rPr>
        <b/>
        <sz val="11"/>
        <rFont val="Calibri"/>
        <family val="2"/>
        <scheme val="minor"/>
      </rPr>
      <t>Para cuota fija:</t>
    </r>
    <r>
      <rPr>
        <sz val="11"/>
        <rFont val="Calibri"/>
        <family val="2"/>
        <scheme val="minor"/>
      </rPr>
      <t xml:space="preserve"> Si el campo CONCAL1-IN se registra F se debe registrar el número de cuotas pendientes de pagar no vencidas.
</t>
    </r>
    <r>
      <rPr>
        <b/>
        <sz val="11"/>
        <rFont val="Calibri"/>
        <family val="2"/>
        <scheme val="minor"/>
      </rPr>
      <t>Para cuota variable:</t>
    </r>
    <r>
      <rPr>
        <sz val="11"/>
        <rFont val="Calibri"/>
        <family val="2"/>
        <scheme val="minor"/>
      </rPr>
      <t xml:space="preserve"> Si el campo CONCAL1-IN se registra P se debe registrar el numero de cuotas pendientes de pagar para capital no vecidas.
Rellenar con ceros a la izquierda hasta completar el total del campo.  </t>
    </r>
  </si>
  <si>
    <t>TIPPER1-IN</t>
  </si>
  <si>
    <t>Tipo de periodo.  1</t>
  </si>
  <si>
    <t>Default M</t>
  </si>
  <si>
    <t>Siempre M, si llega valor diferente, generar error:
TIPO PERIODO INVALIDO</t>
  </si>
  <si>
    <r>
      <t>M</t>
    </r>
    <r>
      <rPr>
        <sz val="11"/>
        <rFont val="Calibri"/>
        <family val="2"/>
        <scheme val="minor"/>
      </rPr>
      <t xml:space="preserve">  Meses</t>
    </r>
    <r>
      <rPr>
        <sz val="11"/>
        <color theme="1"/>
        <rFont val="Calibri"/>
        <family val="2"/>
        <scheme val="minor"/>
      </rPr>
      <t xml:space="preserve">
</t>
    </r>
  </si>
  <si>
    <t>Siempre M</t>
  </si>
  <si>
    <t>NMESPER1-IN</t>
  </si>
  <si>
    <t>Amortizacion del periodo 1</t>
  </si>
  <si>
    <t>Para cuota fija: Si el campo Código del concepto de pago 1 se registra F se debe registrar la periodicidad de amortización del crédito.
Para cuota variable: Si el campo Código del concepto de pago 1 se registra P se debe registrar la periodicidad de amortización a capital del crédito.
Si es mensual 01
Si es bimestral 02
Si es trimestral 03
Si es semestral 06
04 Cuatrimestral
05 única (Al vencimiento)
12 Anual</t>
  </si>
  <si>
    <t>Si el campo 171 (CONCAL1-IN) se registra F, se debe validar el campo 17 (FORMPACAP-IN), y debe ser el mismo valor registrado en este campo.
Si el campo 171 (CONCAL1-IN) se registra P, se debe validar el campo 17 (FORMPACAP-IN), y debe ser el mismo valor registrado en este campo.
Error: AMORTIZACION DE CREDITO NO COINDICE CON LA PERIODICIDAD DE PAGO REGISTRADA.</t>
  </si>
  <si>
    <t>Si es mensual 01
Si es bimestral 02
Si es trimestral 03
Si es semestral 06
04 Cuatrimestral
05 Unica (Al vencimiento)
12 Anual</t>
  </si>
  <si>
    <r>
      <rPr>
        <b/>
        <sz val="11"/>
        <rFont val="Calibri"/>
        <family val="2"/>
        <scheme val="minor"/>
      </rPr>
      <t>Para cuota fija:</t>
    </r>
    <r>
      <rPr>
        <sz val="11"/>
        <rFont val="Calibri"/>
        <family val="2"/>
        <scheme val="minor"/>
      </rPr>
      <t xml:space="preserve"> Si el campo CONCAL1-IN se registra F se debe registrar la periodicidad de amortizacion del credito.
</t>
    </r>
    <r>
      <rPr>
        <b/>
        <sz val="11"/>
        <rFont val="Calibri"/>
        <family val="2"/>
        <scheme val="minor"/>
      </rPr>
      <t>Para cuota variable:</t>
    </r>
    <r>
      <rPr>
        <sz val="11"/>
        <rFont val="Calibri"/>
        <family val="2"/>
        <scheme val="minor"/>
      </rPr>
      <t xml:space="preserve"> Si el campo CONCAL1-IN se registra P se debe registrar la periodicidad de amortizacion a capital del credito.
</t>
    </r>
  </si>
  <si>
    <t>SIGVAL1-CONCEPT</t>
  </si>
  <si>
    <t>Signo Valor del concepto 1</t>
  </si>
  <si>
    <t>VALCAL1-IN</t>
  </si>
  <si>
    <t>Valor del concepto 1</t>
  </si>
  <si>
    <t>Para cuota fija: Si el campo Código del concepto de pago 1 se registra F se debe registrar el valor de (Capital + Intereses) de la cuota. 
Para cuota variable: Si el campo Código del concepto de pago 1 se envio P (capital) enviar el valor de capital de la cuota.
Rellenar con ceros a la izquierda hasta completar el total del campo. Sin separador de decimales.
Diferente de Cero</t>
  </si>
  <si>
    <t>Este campo no puede llevar valores en cero, de lo contrario generar mensaje error:
NO SE REGISTRO VALOR DEL CONCEPTO DE CALENDARIO.</t>
  </si>
  <si>
    <r>
      <rPr>
        <b/>
        <sz val="11"/>
        <rFont val="Calibri"/>
        <family val="2"/>
        <scheme val="minor"/>
      </rPr>
      <t>Para cuota fija:</t>
    </r>
    <r>
      <rPr>
        <sz val="11"/>
        <rFont val="Calibri"/>
        <family val="2"/>
        <scheme val="minor"/>
      </rPr>
      <t xml:space="preserve"> Si el campo CONCAL1-IN se registra F se debe registrar el valor de (Capital + Intereses) de la cuota. 
</t>
    </r>
    <r>
      <rPr>
        <b/>
        <sz val="11"/>
        <rFont val="Calibri"/>
        <family val="2"/>
        <scheme val="minor"/>
      </rPr>
      <t>Para cuota variable:</t>
    </r>
    <r>
      <rPr>
        <sz val="11"/>
        <rFont val="Calibri"/>
        <family val="2"/>
        <scheme val="minor"/>
      </rPr>
      <t xml:space="preserve"> Si el campo CONCAL1-IN se envio P (capital) enviar el valor de capital de la cuota.
Rellenar con ceros a la izquierda hasta completar el total del campo. Sin separador de decimales.
</t>
    </r>
  </si>
  <si>
    <t>FINICAL1-IN</t>
  </si>
  <si>
    <t>Fecha de inicio del calendario 1</t>
  </si>
  <si>
    <t>Esta fecha debe ser igual a la fecha del próximo abono.
Formato es aaaammdd
Diferente de Cero</t>
  </si>
  <si>
    <t>Esta fecha debe ser igual a la fecha del próximo abono campo 73 (FECPROABO-IN).
Error: FECHA INICIO CALENDARIO NO COINCIDE CON FECHA DE PROXIMO ABONO.</t>
  </si>
  <si>
    <t>Esta fecha debe ser igual a la fecha del próximo abono campo 73 (FECPROABO-IN)
Formato es aaaammdd</t>
  </si>
  <si>
    <t>FFINCAL1-IN</t>
  </si>
  <si>
    <t>Fecha final del calendario 1</t>
  </si>
  <si>
    <t>Esta fecha debe ser igual a la fecha de vencimiento del crédito
Formato es aaaammdd
Diferente de Cero</t>
  </si>
  <si>
    <t>Esta fecha debe ser igual a la fecha de vencimiento del crédito campo 72 (FECFINPACT-IN).
Error: FECHA VENCIMIENTO CALENDARIO NO COINCIDE CON FECHA FINAL PACTADA DEL CREDITO.</t>
  </si>
  <si>
    <t xml:space="preserve">Esta fecha debe ser igual a la fecha de vencimiento del crédito campo 72 (FECFINPACT-IN).
Formato es aaaammdd
</t>
  </si>
  <si>
    <t>CONCAL2-IN</t>
  </si>
  <si>
    <t>Código del concepto de pago 2</t>
  </si>
  <si>
    <t>Para cuota fija: Enviar default N
Para cuota variable: Si el campo tipo cuota registra V registra se debe enviar I (Interes) adicionalmente debe registra información en los campos: Número de cuotas del calendario 2, Tipo de periodo.  2, amortización del periodo 2, Valor del concepto 2, Fecha de inicio del calendario 2, Fecha final del calendario 2. 
I  Intereses
Default N</t>
  </si>
  <si>
    <t>Si el credito en el campo 14 (TIPCUOTA-IN) registra F siempre debe registrar default.
Si el credito en el campo 14 (TIPCUOTA-IN) registra V siempre debe registrar I:
Error:CONCEPTO DE PAGO NO COINCIDE CON EL TPO DE CUOTA.</t>
  </si>
  <si>
    <t xml:space="preserve">                                       
I  Intereses
Default N</t>
  </si>
  <si>
    <r>
      <rPr>
        <b/>
        <sz val="11"/>
        <rFont val="Calibri"/>
        <family val="2"/>
        <scheme val="minor"/>
      </rPr>
      <t>Para cuota fija:</t>
    </r>
    <r>
      <rPr>
        <sz val="11"/>
        <rFont val="Calibri"/>
        <family val="2"/>
        <scheme val="minor"/>
      </rPr>
      <t xml:space="preserve"> Enviar default </t>
    </r>
    <r>
      <rPr>
        <b/>
        <sz val="11"/>
        <rFont val="Calibri"/>
        <family val="2"/>
        <scheme val="minor"/>
      </rPr>
      <t>N</t>
    </r>
    <r>
      <rPr>
        <sz val="11"/>
        <rFont val="Calibri"/>
        <family val="2"/>
        <scheme val="minor"/>
      </rPr>
      <t xml:space="preserve">
</t>
    </r>
    <r>
      <rPr>
        <b/>
        <sz val="11"/>
        <rFont val="Calibri"/>
        <family val="2"/>
        <scheme val="minor"/>
      </rPr>
      <t>Para cuota variable:</t>
    </r>
    <r>
      <rPr>
        <sz val="11"/>
        <rFont val="Calibri"/>
        <family val="2"/>
        <scheme val="minor"/>
      </rPr>
      <t xml:space="preserve"> Si el campo 14 (TIPCUOTA-IN) registra V registra se debe enviar I (Interes) adicionalmente debe registra información en los campos 180 (NCUOCAL2-IN), 181 (TIPPER2-IN), 182 (NMESPER2-IN), 183 (SIGVAL2-CONCEPT), 184 (VALCAL2-IN), 185 (FINICAL12IN) y 186 (FFINCAL1-IN)</t>
    </r>
  </si>
  <si>
    <t>NCUOCAL2-IN</t>
  </si>
  <si>
    <t>Número de cuotas del calendario 2</t>
  </si>
  <si>
    <t>Para cuota fija: Enviar default ceros
Para cuota variable: Si el campo Código del concepto de pago 2 registra I se debe registrar el número de cuotas pendientes de pagar para Interes.
Rellenar con ceros a la izquierda hasta completar el total del campo. 
Default Cero</t>
  </si>
  <si>
    <t>Si el credito en el campo 14 (TIPCUOTA-IN) registra F siempre debe registrar default.
Si el credito en el campo 14 (TIPCUOTA-IN) registra V y en el campo 179 (CONCAL2-IN) se registra I, el numero de cuotas que se registra en este campo debe ser el mismo numero de cuotas registrado en el campo 59 (NUMCUOAPA-IN).
Error: NUMERO DE CUOTAS CALENDARIO NO COINCIDE CON NUMERO DE CUOTAS PENDIENTES DE PAGO.</t>
  </si>
  <si>
    <r>
      <rPr>
        <b/>
        <sz val="11"/>
        <rFont val="Calibri"/>
        <family val="2"/>
        <scheme val="minor"/>
      </rPr>
      <t>Para cuota fija:</t>
    </r>
    <r>
      <rPr>
        <sz val="11"/>
        <rFont val="Calibri"/>
        <family val="2"/>
        <scheme val="minor"/>
      </rPr>
      <t xml:space="preserve"> Enviar default ceros
</t>
    </r>
    <r>
      <rPr>
        <b/>
        <sz val="11"/>
        <rFont val="Calibri"/>
        <family val="2"/>
        <scheme val="minor"/>
      </rPr>
      <t>Para cuota variable:</t>
    </r>
    <r>
      <rPr>
        <sz val="11"/>
        <rFont val="Calibri"/>
        <family val="2"/>
        <scheme val="minor"/>
      </rPr>
      <t xml:space="preserve"> Si el campo 179 (CONCAL2-IN) registra I se debe registrar el numero de cuotas pendientes de pagar para Interes.
Rellenar con ceros a la izquierda hasta completar el total del campo.  </t>
    </r>
  </si>
  <si>
    <t>TIPPER2-IN</t>
  </si>
  <si>
    <t>Tipo de periodo.  2</t>
  </si>
  <si>
    <t>NMESPER2-IN</t>
  </si>
  <si>
    <t>Amortizacion del periodo 2</t>
  </si>
  <si>
    <t>Para cuota fija: Enviar default ceros
Para cuota variable: Si el campo Código del concepto de pago 2 registra I se debe registrar la periodicidad de amortización de Interes del crédito.
Si es mensual 01
Si es bimestral 02
Si es trimestral 03
Si es semestral 06
04 Cuatrimestral
05 única (Al vencimiento)
12 Anual</t>
  </si>
  <si>
    <t>Si el credito en el campo 14 (TIPCUOTA-IN) registra F siempre debe registrar default.
Si el credito en el campo 14 (TIPCUOTA-IN) registra V y en el campo 179 (CONCAL2-IN) se registra I, se debe validar el campo 18 (FORMPAINT-IN), y debe ser el mismo valor registrado en este campo.
Error: AMORTIZACION DE CREDITO NO COINDICE CON LA PERIODICIDAD DE PAGO REGISTRADA.</t>
  </si>
  <si>
    <r>
      <rPr>
        <b/>
        <sz val="11"/>
        <rFont val="Calibri"/>
        <family val="2"/>
        <scheme val="minor"/>
      </rPr>
      <t>Para cuota fija:</t>
    </r>
    <r>
      <rPr>
        <sz val="11"/>
        <rFont val="Calibri"/>
        <family val="2"/>
        <scheme val="minor"/>
      </rPr>
      <t xml:space="preserve"> Enviar default ceros
</t>
    </r>
    <r>
      <rPr>
        <b/>
        <sz val="11"/>
        <rFont val="Calibri"/>
        <family val="2"/>
        <scheme val="minor"/>
      </rPr>
      <t>Para cuota variable:</t>
    </r>
    <r>
      <rPr>
        <sz val="11"/>
        <rFont val="Calibri"/>
        <family val="2"/>
        <scheme val="minor"/>
      </rPr>
      <t xml:space="preserve"> Si el campo 179 (CONCAL2-IN) registra I se debe registrar la periodicidad de amortizacion de Interes del credito.
</t>
    </r>
  </si>
  <si>
    <t>SIGVAL2-CONCEPT</t>
  </si>
  <si>
    <t>Signo Valor del concepto 2</t>
  </si>
  <si>
    <t>VALCAL2-IN</t>
  </si>
  <si>
    <t xml:space="preserve">Valor del concepto 2 </t>
  </si>
  <si>
    <t>Para cuota fija: Enviar default ceros
Para cuota variable: Si el campo Código del concepto de pago 2 registra I enviar ceros.
Rellenar con ceros a la izquierda hasta completar el total del campo. Sin separador de decimales.
Default Cero.</t>
  </si>
  <si>
    <t>Si el credito en el campo 14 (TIPCUOTA-IN) se registra F o V, Este campo se envia default. Si se registra algun valor:
VALOR NO PERMITIDO PARA TIPO DE CALENDARIO.</t>
  </si>
  <si>
    <t>Default Cero.</t>
  </si>
  <si>
    <r>
      <rPr>
        <b/>
        <sz val="11"/>
        <rFont val="Calibri"/>
        <family val="2"/>
        <scheme val="minor"/>
      </rPr>
      <t>Para cuota fija:</t>
    </r>
    <r>
      <rPr>
        <sz val="11"/>
        <rFont val="Calibri"/>
        <family val="2"/>
        <scheme val="minor"/>
      </rPr>
      <t xml:space="preserve"> Enviar default ceros
</t>
    </r>
    <r>
      <rPr>
        <b/>
        <sz val="11"/>
        <rFont val="Calibri"/>
        <family val="2"/>
        <scheme val="minor"/>
      </rPr>
      <t>Para cuota variable</t>
    </r>
    <r>
      <rPr>
        <sz val="11"/>
        <rFont val="Calibri"/>
        <family val="2"/>
        <scheme val="minor"/>
      </rPr>
      <t xml:space="preserve">: Si el campo 179 (CONCAL2-IN) registra I enviar ceros.
Rellenar con ceros a la izquierda hasta completar el total del campo. Sin separador de decimales.
</t>
    </r>
  </si>
  <si>
    <t>FINICAL2-IN</t>
  </si>
  <si>
    <t>Fecha de inicio del calendario 2</t>
  </si>
  <si>
    <t>Esta fecha debe ser igual a la fecha del próximo abono 
Formato es aaaammdd
Diferente de Cero</t>
  </si>
  <si>
    <t>Si el credito en el campo 14 (TIPCUOTA-IN) se registra F enviar default.
Esta fecha debe ser igual a la fecha del próximo abono campo 73 (FECPROABO-IN).
Error: FECHA INICIO CALENDARIO NO COINCIDE CON FECHA DE PROXIMO ABONO.</t>
  </si>
  <si>
    <r>
      <rPr>
        <b/>
        <sz val="11"/>
        <rFont val="Calibri"/>
        <family val="2"/>
        <scheme val="minor"/>
      </rPr>
      <t>Para cuota fija:</t>
    </r>
    <r>
      <rPr>
        <sz val="11"/>
        <rFont val="Calibri"/>
        <family val="2"/>
        <scheme val="minor"/>
      </rPr>
      <t xml:space="preserve"> Enviar default ceros
</t>
    </r>
    <r>
      <rPr>
        <b/>
        <sz val="11"/>
        <rFont val="Calibri"/>
        <family val="2"/>
        <scheme val="minor"/>
      </rPr>
      <t xml:space="preserve">Para cuota variable: </t>
    </r>
    <r>
      <rPr>
        <sz val="11"/>
        <rFont val="Calibri"/>
        <family val="2"/>
        <scheme val="minor"/>
      </rPr>
      <t>Esta fecha debe ser igual o superior a la fecha del próximo abono campo 73 (FECPROABO-IN)
Formato es aaaammdd</t>
    </r>
  </si>
  <si>
    <t>FFINCAL2-IN</t>
  </si>
  <si>
    <t>Fecha final del calendario 2</t>
  </si>
  <si>
    <t>Si el credito en el campo 14 (TIPCUOTA-IN) se registra F enviar default.
Esta fecha debe ser igual a la fecha de vencimiento del crédito campo 72 (FECFINPACT-IN).
Error: FECHA VENCIMIENTO CALENDARIO NO COINCIDE CON FECHA FINAL PACTADA DEL CREDITO.</t>
  </si>
  <si>
    <r>
      <rPr>
        <b/>
        <sz val="11"/>
        <rFont val="Calibri"/>
        <family val="2"/>
        <scheme val="minor"/>
      </rPr>
      <t>Para cuota fija:</t>
    </r>
    <r>
      <rPr>
        <sz val="11"/>
        <rFont val="Calibri"/>
        <family val="2"/>
        <scheme val="minor"/>
      </rPr>
      <t xml:space="preserve"> Enviar default ceros
</t>
    </r>
    <r>
      <rPr>
        <b/>
        <sz val="11"/>
        <rFont val="Calibri"/>
        <family val="2"/>
        <scheme val="minor"/>
      </rPr>
      <t>Para cuota variable:</t>
    </r>
    <r>
      <rPr>
        <sz val="11"/>
        <rFont val="Calibri"/>
        <family val="2"/>
        <scheme val="minor"/>
      </rPr>
      <t xml:space="preserve"> Esta fecha debe ser igual a la fecha de vencimiento del crédito (campo FECFINPACT-IN).
Formato es aaaammdd</t>
    </r>
  </si>
  <si>
    <t>CONCAL3-IN</t>
  </si>
  <si>
    <t>Código del concepto de pago 3</t>
  </si>
  <si>
    <t xml:space="preserve">Si es una Libranza (131), desvinculado libranza (083) o cualquier producto que tenga autorizacion para abonos extraordinarios en las primas se debe registrar informacion en los campos: desde Código del concepto de pago 3 hasta Fecha final del calendario 3
P Capital (Si cuenta con abonos extra)
N Default                                 </t>
  </si>
  <si>
    <t xml:space="preserve">Si en esta campo se registra P y el campo 10 (CODLINCRE-IN) se registra un valor diferente a 014, se debe diligenciar los campos desde NCUOCAL3-IN hasta FFINCAL3-IN, de lo contrario generar error:
"NO SE REGISTRO INFORMACION DE ABONOS EXTRAORDINARIOS"
Si en el campo 10 (CODLINCRE-IN) se registra 014, este campo siempre debe con el default.
"VALOR RELACIONADO NO VALIDO PARA LINEA DE CREDITO"
Si es un valor diferente de P o N, enviar error:
"VALOR ENVIADO NO PERMITIDO PARA EL CAMPO"
</t>
  </si>
  <si>
    <t xml:space="preserve">P Capital (Si cuenta con abonos extra)
N Default                                 </t>
  </si>
  <si>
    <t xml:space="preserve">Si es una Libranza (131), desvinculado libranza (083) o cualquier producto que tenga autorizacion para abonos extraordinarios en las primas se debe registrar informacion en los campos desde NCUOCAL3-IN hasta FFINCAL3-IN
</t>
  </si>
  <si>
    <t>NCUOCAL3-IN</t>
  </si>
  <si>
    <t>Número de cuotas del calendario 3</t>
  </si>
  <si>
    <t>Se debe registrar el número de cuotas pendientes de pago de las cuotas extraordinarias para capital no vecidas.
Rellenar con ceros a la izquierda hasta completar el total del campo.  
Default Cero</t>
  </si>
  <si>
    <t>Si en el campo CONCAL3-IN = P; Calcular la cantidad de meses entre la fecha Inicio (FINICAL3-IN) y Fin de calendario (FFINCAL3-IN), este resultado se divide por la periodicidad registrada en el campo NMESPER3-IN, 
El resultado de esta operación debe ser igual al valor registrado en este campo; de lo contrario:
Error: NUMERO DE CUOTAS DE ABONOS EXTRA NO COINCIDE CON LAS FECHAS DE INICIO Y FIN CALENDARIO.</t>
  </si>
  <si>
    <t xml:space="preserve">Se debe registrar el numero de cuotas pendientes de pago de las cuotas extraordinarias para capital no vecidas.
Rellenar con ceros a la izquierda hasta completar el total del campo.  </t>
  </si>
  <si>
    <t>TIPPER3-IN</t>
  </si>
  <si>
    <t>Tipo de periodo.  3</t>
  </si>
  <si>
    <t>Siempre en M</t>
  </si>
  <si>
    <t>NMESPER3-IN</t>
  </si>
  <si>
    <t>Amortizacion del periodo 3</t>
  </si>
  <si>
    <t>Se debe diligenciar la amortización de los abonos extraordinarios.
06 semestral
12 Anual
Default ceros</t>
  </si>
  <si>
    <t>Si en el campo CONCAL3-IN = P
Solo se permite registrar 06 o 12, de lo contrario:
AMORTIZACION NO VALIDA PARA ABONOS EXTRAORDINARIOS</t>
  </si>
  <si>
    <t>Se debe diligenciar la amortizacion de los abonos extraordinarios.
06 semestral
12 Anual
Default ceros</t>
  </si>
  <si>
    <t>Se debe diligenciar la amortizacion de los abonos extraordinarios.</t>
  </si>
  <si>
    <t>SIGVAL3-CONCEPT</t>
  </si>
  <si>
    <t>Signo Valor del concepto 3</t>
  </si>
  <si>
    <r>
      <t>+</t>
    </r>
    <r>
      <rPr>
        <sz val="11"/>
        <rFont val="Calibri"/>
        <family val="2"/>
        <scheme val="minor"/>
      </rPr>
      <t>Positivo</t>
    </r>
  </si>
  <si>
    <t>VALCAL3-IN</t>
  </si>
  <si>
    <t>Valor del concepto 3</t>
  </si>
  <si>
    <t>Se debe diliganciar el valor de capital, que corresponde al abono extraordinario.
Rellenar con ceros a la izquierda hasta completar el total del campo. Sin separador de decimales.
Default Cero</t>
  </si>
  <si>
    <t>Si en el campo CONCAL3-IN se registro P, este campo no puede llevar valores en cero, de lo contrario generar mensaje error:
NO SE REGISTRO VALOR DEL CONCEPTO DE CALENDARIO EXTRAORDINARIO.</t>
  </si>
  <si>
    <t xml:space="preserve">Se debe diliganciar el valor de P (capital), que corresponde al abono extra que debe ser coobrado en el credito.
Rellenar con ceros a la izquierda hasta completar el total del campo. Sin separador de decimales.
</t>
  </si>
  <si>
    <t>FINICAL3-IN</t>
  </si>
  <si>
    <t>Fecha de inicio del calendario 3</t>
  </si>
  <si>
    <t>Se debe diligenciar la fecha del proximo abono extraordinario (posterior a la migracion).
Formato es aaaammdd
Default Cero</t>
  </si>
  <si>
    <t xml:space="preserve">Si en el campo CONCAL3-IN se registro P
Esta fecha no debe ser inferior a la fecha registrada en el campo 73 (FECPROABO-IN). </t>
  </si>
  <si>
    <t>Se debe diligenciar la fecha del proximo abono extra, (posterior a la migracion).
Formato es aaaammdd</t>
  </si>
  <si>
    <t>FFINCAL3-IN</t>
  </si>
  <si>
    <t>Fecha final del calendario 3</t>
  </si>
  <si>
    <t>Se debe diligenciar la fecha en que finaliza este calendario de abonos extra. Esta fecha no debe ser superior a la fecha final pactada del crédito
Formato es aaaammdd
Default Cero</t>
  </si>
  <si>
    <t>Si en el campo CONCAL3-IN se registro P
Esta fecha no debe ser superior a la fecha final pactada del credito, (campo FECFINPACT-IN)</t>
  </si>
  <si>
    <t>Se debe diligenciar la fecha en que finaliza este calendario de abonos extra. (Esta fecha no debe ser superior a la fecha final pactada del credito, (campo FECFINPACT-IN))
Formato es aaaammdd</t>
  </si>
  <si>
    <t>CONCAL4-IN</t>
  </si>
  <si>
    <t>Código del concepto de pago 4</t>
  </si>
  <si>
    <t xml:space="preserve">I: Si tiene Interés Distribuido
Default  N
Si tiene interés distribuido, se debe registrar informacion en los campos desde Número de cuotas del calendario 4 hasta Fecha final del calendario 4.
</t>
  </si>
  <si>
    <t>Si en este campo se registra "I", en el campo 282 (INTDISTR) se debe registrar un valor mayor a cero, si el campo (INTDISTR) es igual a cero se debe enviar N, de lo contrario:
"FALTA CALENDARIO DE INTERES DISTRIBUIDO"</t>
  </si>
  <si>
    <t>Interés distribuido</t>
  </si>
  <si>
    <t>I: Si tiene Interés Distribuido
N: No tiene Interés Distribuido</t>
  </si>
  <si>
    <t xml:space="preserve">Si el crédito cuenta con interes distribuido pendiente por cancelar en este campo se debe enviar I, adicional se debe registrar informacion en los campos desde NCUOCAL4-IN hasta FFINCAL4-IN.
</t>
  </si>
  <si>
    <t>NCUOCAL4-IN</t>
  </si>
  <si>
    <t>Número de cuotas del calendario 4</t>
  </si>
  <si>
    <t>Se debe registrar el número de cuotas pendientes de pago de intrés distribuido no vencidas.
Rellenar con ceros a la izquierda hasta completar el total del campo.  
Default ceros</t>
  </si>
  <si>
    <t>Si en el campo 195 (CONCAL4-IN) registra "I" este campo debe ser mayor a cero, en caso contrario debe registrar ceros.
La cantidad de cuotas registradas en este campo es igual a la cantidad de meses entre la fecha registrada en el campo 201 (FINICAL4-IN) y  la registrada en el campo 202 (FFINCAL4-IN), (teniendo en cuenta la amortización registrada en el campo 198 (NMESPER4-IN)):
"NUMERO DE MESES NO COINCIDE CON FECHA INICIO O FIN DE CALENDARIO"</t>
  </si>
  <si>
    <t xml:space="preserve">Se debe registrar el numero de cuotas pendientes de pago de intrés distribuido no vecidas.
Rellenar con ceros a la izquierda hasta completar el total del campo.  </t>
  </si>
  <si>
    <t>TIPPER4-IN</t>
  </si>
  <si>
    <t>Tipo de periodo.  4</t>
  </si>
  <si>
    <t>NMESPER4-IN</t>
  </si>
  <si>
    <t>Número de meses del periodo 4</t>
  </si>
  <si>
    <t>Se debe diligenciar la amortización de pago del interés distribuido.
Default ceros</t>
  </si>
  <si>
    <t xml:space="preserve">Si en el campo 195 (CONCAL4-IN) se registro "I" este campo debe registrar alguna de las amortizaciones de la columna F, de lo contrario:
"AMORTIZACION ERRADA"
</t>
  </si>
  <si>
    <t>Si es mensual 01
Si es bimestral 02
Si es trimestral 03
Si es semestral 06
04 Cuatrimestral
05 Unica (Al vencimiento)
12 Anual
Default ceros</t>
  </si>
  <si>
    <t>Se debe diligenciar la amortizacion de pago del interés distribuido.</t>
  </si>
  <si>
    <t>SIGVAL4-CONCEPT</t>
  </si>
  <si>
    <t>Signo Valor del concepto 4</t>
  </si>
  <si>
    <t>VALCAL4-IN</t>
  </si>
  <si>
    <t>Valor del concepto 4</t>
  </si>
  <si>
    <t>Se debe diligenciar el valor que debe ser cobrado en cada cuota correspondiente al interés distribuido.
Rellenar con ceros a la izquierda hasta completar el total del campo. Sin separador de decimales.
Default ceros</t>
  </si>
  <si>
    <t xml:space="preserve">Si en el campo 195 (CONCAL4-IN) se registro "I" este campo debe ser mayor a cero, de lo contrario:
"FALTA VALOR DE INTERES DISTRIBUIDO MENSUAL"
</t>
  </si>
  <si>
    <t xml:space="preserve">Se debe diligenciar el valor que debe ser cobrado en cada cuota correspondiente al interés distribuido.
Rellenar con ceros a la izquierda hasta completar el total del campo. Sin separador de decimales.
</t>
  </si>
  <si>
    <t>FINICAL4-IN</t>
  </si>
  <si>
    <t>Fecha de inicio del calendario 4</t>
  </si>
  <si>
    <t>Se debe diligenciar la fecha de la próxima cuota del intrés distribuido, (posterior a la migración).
Formato es aaaammdd
Default ceros</t>
  </si>
  <si>
    <t>Si en el campo 195 (CONCAL4-IN) registra "I" este campo se debe diligenciar, en caso contrario siempre en ceros. Esta fecha no puede ser inferior a la fecha de la migración.
"FECHA DE INICIO CALENDARIO INFERIOR A FECHA DE MIGRACION"</t>
  </si>
  <si>
    <t>Fecha
Default Cero</t>
  </si>
  <si>
    <t>Se debe diligenciar la fecha de la proxima cuota del intrés distribuido, (posterior a la migración).
Formato es aaaammdd</t>
  </si>
  <si>
    <t>FFINCAL4-IN</t>
  </si>
  <si>
    <t>Fecha final del calendario 4</t>
  </si>
  <si>
    <t>Se debe diligenciar la fecha en que finaliza este calendario de interés distribuido. (Esta fecha no debe ser superior a la fecha final pactada del crédito.
Formato es aaaammdd
Default ceros</t>
  </si>
  <si>
    <t xml:space="preserve">Si en el campo 195 (CONCAL4-IN) registra "I" este campo se debe diligenciar, en caso contrario siempre en ceros. Esta fecha no puede ser superior a la fecha registrada en el campo 72 (FECFINPACT-IN).
"FECHA FINAL CALENDARIO SUPERIOR A FECHA FINAL DEL CREDITO"
</t>
  </si>
  <si>
    <t>Se debe diligenciar la fecha en que finaliza este calendario de interés distribuido. (Esta fecha no debe ser superior a la fecha final pactada del credito, (campo FECFINPACT-IN))
Formato es aaaammdd</t>
  </si>
  <si>
    <t>CONCAL5-IN</t>
  </si>
  <si>
    <t xml:space="preserve">Código del concepto de pago 5 </t>
  </si>
  <si>
    <t xml:space="preserve">A: Si tiene gastos diferidos
Default N
Si el crédito tiene  valor pendiente de seguros obligatorios pendiente por cancelar, en este campo se debe enviar A, adicional se debe registrar informacion en los campos desde Número de cuotas del calendario 5 hasta Fecha final del calendario 5.
</t>
  </si>
  <si>
    <t>Este campo solo puede tener "A" en caso contrario debe ir N</t>
  </si>
  <si>
    <t>Seguros obligatorios (Periodo de interes deudor o interes distribuido)</t>
  </si>
  <si>
    <r>
      <rPr>
        <sz val="11"/>
        <color rgb="FFFF0000"/>
        <rFont val="Calibri"/>
        <family val="2"/>
        <scheme val="minor"/>
      </rPr>
      <t>A</t>
    </r>
    <r>
      <rPr>
        <sz val="11"/>
        <color theme="1"/>
        <rFont val="Calibri"/>
        <family val="2"/>
        <scheme val="minor"/>
      </rPr>
      <t>: Si tiene gastos seguros diferidos
N - Default</t>
    </r>
  </si>
  <si>
    <t xml:space="preserve">
Para las operaciones que cuentan con (interés distribuido o interés deudor), se debe enviar el valor pendiente de seguros obligatorios pendiente por cancelar, en este campo se debe enviar R, adicional se debe registrar informacion en los campos desde NCUOCAL5-IN hasta FFINCAL5-IN.</t>
  </si>
  <si>
    <t>NCUOCAL5-IN</t>
  </si>
  <si>
    <t>Número de cuotas del calendario 5</t>
  </si>
  <si>
    <t>Se debe registrar el número de cuotas pendientes de pago de seguros obligatorios (para operaciones que cuentan con interés distribuido o interés deudor).
Rellenar con ceros a la izquierda hasta completar el total del campo.  
Default ceros</t>
  </si>
  <si>
    <t>Si en el campo 203 (CONCAL5-IN) registra "A" este campo mayor a cero, de lo contrario enviar default.
La cantidad de cuotas registradas en este campo es igual a la cantidad de meses entre la fecha registrada en el campo 209 ((FINICAL5-IN) y  la registrada en el campo 210 (FFINCAL5-IN). (teniendo en cuenta la amortización registrada en el campo 206 (NMESPER5-IN))
"NUMERO DE MESES NO COINCIDE CON FECHA INICIO O FIN DE CALENDARIO"</t>
  </si>
  <si>
    <t xml:space="preserve">Se debe registrar el numero de cuotas pendientes de pago de seguros obligatorios (para operaciones que cuentan con interés distribuido o interés deudor).
Rellenar con ceros a la izquierda hasta completar el total del campo.  </t>
  </si>
  <si>
    <t>TIPPER5-IN</t>
  </si>
  <si>
    <t>Tipo de periodo.  5</t>
  </si>
  <si>
    <r>
      <t>M</t>
    </r>
    <r>
      <rPr>
        <sz val="11"/>
        <rFont val="Calibri"/>
        <family val="2"/>
        <scheme val="minor"/>
      </rPr>
      <t xml:space="preserve">  Meses</t>
    </r>
  </si>
  <si>
    <t>NMESPER5-IN</t>
  </si>
  <si>
    <t>Número de meses del periodo 5</t>
  </si>
  <si>
    <t>Si en el campo 203 (CONCAL5-IN) registra "A" este campo debe registrar alguna de las amortizaciones de la columna F, de lo contrario:
"AMORTIZACION ERRADA"</t>
  </si>
  <si>
    <t>Se debe diligenciar la amortizacion de pago de seguros obligatorios (para operaciones que cuentan con interés distribuido o interés deudor).</t>
  </si>
  <si>
    <t>SIGVAL5-CONCEPT</t>
  </si>
  <si>
    <t>Signo Valor del concepto 5</t>
  </si>
  <si>
    <t>VALCAL5-IN</t>
  </si>
  <si>
    <t>Valor del concepto 5</t>
  </si>
  <si>
    <t xml:space="preserve">Se debe diligenciar el valor que debe ser cobrado en cada cuota correspondiente a seguros obligatorios (para operaciones que cuentan con interés distribuido o interés deudor).
Para operaciones que los valores de seguro no es igual en todas las cuotas, tomar el valor total pendiente de cobro, dividirlo en las cuotas pendientes y dejar ese valor en este campo.
Rellenar con ceros a la izquierda hasta completar el total del campo. Sin separador de decimales.
Default ceros
</t>
  </si>
  <si>
    <t>Si en el campo 203 (CONCAL5-IN) registra "A" este campo debe ser mayor que cero, de lo contrario enviar default.
"FALTA VALOR DE SEGURO DISTRIBUIDO"</t>
  </si>
  <si>
    <t xml:space="preserve">Se debe diligenciar el valor que debe ser cobrado en cada cuota correspondiente a seguros obligatorios (para operaciones que cuentan con interés distribuido o interés deudor).
Para operaciones que los valores de seguro no es igual en todas las cuotas, tomar el valor total pte de cobro, dividirlo en las cuotas pendientes y dejar ese valor en este campo.
Rellenar con ceros a la izquierda hasta completar el total del campo. Sin separador de decimales.
</t>
  </si>
  <si>
    <t>FINICAL5-IN</t>
  </si>
  <si>
    <t>Fecha de inicio del calendario 5</t>
  </si>
  <si>
    <t>Se debe diligenciar la fecha de la próxima cuota de seguros obligatorios (para operaciones que cuentan con interés distribuido o interés deudor)., (posterior a la migración).
Formato es aaaammdd
Default ceros</t>
  </si>
  <si>
    <t>Si en el campo 203 (CONCAL5-IN) registra "A" este campo se debe diligenciar, en caso contrario siempre en ceros. Esta fecha no puede ser inferior a la fecha de la migración.
"FECHA DE INICIO CALENDARIO INFERIOR A FECHA DE MIGRACION"</t>
  </si>
  <si>
    <t>Fecha
Default ceros</t>
  </si>
  <si>
    <t>Se debe diligenciar la fecha de la proxima cuota de seguros obligatorios (para operaciones que cuentan con interés distribuido o interés deudor)., (posterior a la migración).
Formato es aaaammdd</t>
  </si>
  <si>
    <t>FFINCAL5-IN</t>
  </si>
  <si>
    <t>Fecha final del calendario 5</t>
  </si>
  <si>
    <t>Se debe diligenciar la fecha en que finaliza este calendario de seguros obligatorios (para operaciones que cuentan con interés distribuido o interés deudor).Esta fecha no debe ser superior a la fecha final pactada del crédito
Formato es aaaammdd
Default ceros</t>
  </si>
  <si>
    <t>Si en el campo 203 (CONCAL5-IN) registra "A" este campo se debe diligenciar, en caso contrario siempre en ceros. Esta fecha no puede ser superior a la fecha registrada en el campo 72 (FECFINPACT-IN).
"FECHA FINAL CALENDARIO SUPERIOR A FECHA FINAL DEL CREDITO"</t>
  </si>
  <si>
    <t>Se debe diligenciar la fecha en que finaliza este calendario de seguros obligatorios (para operaciones que cuentan con interés distribuido o interés deudor).. (Esta fecha no debe ser superior a la fecha final pactada del credito, (campo FECFINPACT-IN))
Formato es aaaammdd</t>
  </si>
  <si>
    <t>PORC-SEGC</t>
  </si>
  <si>
    <t>Porcentaje de cobro de seguro de vida consumo</t>
  </si>
  <si>
    <t>3,8</t>
  </si>
  <si>
    <t>Si en el campo Valor para liquidación del seguro de vida consumo se registro ceros, se debe enviar el porcentaje de cobro del seguro de vida
En caso de contar con extraprima enviar el porcentaje total para el cobro.
Adicional en el campo Tarifa de extraprima seguro de vida, se debe registrar la tarifa de la extraprima.
En el caso de Vivienda y Leasing Habitacional enviar ceros.
Sin separador de decimales
Default Cero</t>
  </si>
  <si>
    <t>Si en el campo 102 (VALSEG1-IN) registra un valor mayor a cero, este campo siempre debe llegar en ceros, en caso contrario generar error.
"SE REGISTRO VALOR FIJO EN EL CAMPO 102"
Si el campo 102 (VALSEG1-IN) se registro un valor igual a cero en este campo se debe registrar un valor mayor a ceros, en caso contrario generar error.
"FALTA INFORMACION DE PORCENTAJE O VALOR DE SEGURO DE VIDA"</t>
  </si>
  <si>
    <t>3</t>
  </si>
  <si>
    <t>11</t>
  </si>
  <si>
    <t>Si en el campo 102 (VALSEG1-IN) registra cero enviar el porcentaje de cobro del seguro de vida para operaciones de consumo, el porcentaje debe incluir la extraprima en caso de existir.
Sin separador de decimales
Si el seguro no es un porcentaje o es un producto de vivienda o Leasing habitacional enviar ceros</t>
  </si>
  <si>
    <t>PORC-SEGT1</t>
  </si>
  <si>
    <t>Porcentaje de cobro de seguro de vida vivienda</t>
  </si>
  <si>
    <t>Para Vivienda y Leasing Habitacional Familiar y no Familiar (campo Codigo de Linea= 117, 119, 118), Se debe registrar el porcentaje de cobro del seguro de vida, el porcentaje debe incluir la extraprima en caso de existir.
Si es un empleado de , cliente exonerado o Externo este campo debe llegar con el default.
Default ceros</t>
  </si>
  <si>
    <t>Si en el campo TIP-POLIZAT1 se encuentra "I" interno,  siempre debe llegar un valor mayor a cero, de lo contrario:
"FALTA PORCENTAJE DEL SEGURO DE VIDA INTERNO".
Si el campo TIP-POLIZAT1 se encuentra) se envia E=Externo, M=empleado o X=exonerado este campo debe llegar con el default, de lo contrario generar error "INFORMACION NO CORRESPONDE CON TIPO DE POLIZA"</t>
  </si>
  <si>
    <t>Para Vivienda y Leasing Habitacional Familiar y no Familiar (campo CODLINCRE-IN= 117, 119, 118), Se debe registrar el porcentaje de cobro del seguro de vida, el porcentaje debe incluir la extraprima en caso de existir.
Si es un empleado de , cliente exonerado o Externo este campo debe llegar con el default.</t>
  </si>
  <si>
    <t>TIP-POLIZAT1</t>
  </si>
  <si>
    <t>Tipo de póliza seguro de Vida Titular o locatario 1</t>
  </si>
  <si>
    <t>Si en el campo Tipo de seguro que identifica la forma de liquidación se registro 0, en este campo se debe indicar si es seguro Interno o Externo.
Para los demas productos debe ir el default.
I - Interno
E - Externo
M - Empleado
X - Exonerado
Default vacio</t>
  </si>
  <si>
    <t xml:space="preserve">Si llega un tipo de poliza diferente a los relacionados, generar error:
Error: TIPO DE POLIZA INVALIDA </t>
  </si>
  <si>
    <t>I - Interno
E - Externo
M - Empleado
X - Exonerado
Vacio</t>
  </si>
  <si>
    <t>Siempre se debe enviar el tipo de poliza del crédito.</t>
  </si>
  <si>
    <t>COD-ASEGT1</t>
  </si>
  <si>
    <t>Código de la aseguradora en caso de ser externo</t>
  </si>
  <si>
    <t>Enviar el código de la aseguradora en caso de que el campo Tipo de póliza seguro de Vida Titular o locatario 1 se registra E.
En caso contrario enviar ceros.
Default Ceros</t>
  </si>
  <si>
    <t>Codigo Aseguradoras</t>
  </si>
  <si>
    <t>Cod. Aseguradoras</t>
  </si>
  <si>
    <t>Si en el campo TIP-POLIZAT1 se registra E "Externo", puede llegar uno de los codigos que se encuentra en el anexo (Cod. Aseguradoras), o puede llegar cero.
Si llega un valor diferente a cero, validar que sea un valor que se encuentre dentro del anexo, de lo contrario generar error:
CODIGO DE ASEGURADORA NO VALIDO</t>
  </si>
  <si>
    <t>Enviar el codigo de la aseguradora en caso de que el campo 213 (TIP-POLIZAT1) se registra E.
En caso contrario enviar ceros.</t>
  </si>
  <si>
    <t>FEC-VTOT1</t>
  </si>
  <si>
    <t>Fecha de vencimiento en caso de que la poliza sea externa</t>
  </si>
  <si>
    <t>Enviar la fecha de vencimiento de la poliza en caso de que el campo Tipo de póliza seguro de Vida Titular o locatario 1 se registra E. 
Formato aaaammdd.
En caso contrario enviar ceros.
Default ceros</t>
  </si>
  <si>
    <t>Si en el campo TIP-POLIZAT1 se registra E "Externo", se debe enviar fecha</t>
  </si>
  <si>
    <t>Fecha o ceros</t>
  </si>
  <si>
    <t>8</t>
  </si>
  <si>
    <t>Enviar la fecha de vencimiento de la poliza en caso de que el campo 213 (TIP-POLIZAT1) se registra E. Formato aaaammdd.
En caso contrario enviar ceros.</t>
  </si>
  <si>
    <t>PORC-SEGV</t>
  </si>
  <si>
    <t>Porcentaje de cobro de seguro Incendio y Terremoto</t>
  </si>
  <si>
    <t>Si en el campo Valor para liquidación del seguro de Incendio y Terremoto, registra cero y en el campo Tipo de seguro que identifica la forma de liquidación de Incendio y Terremoto registra 2 deben enviar el porcentaje de cobro del seguro de incendio y terremoto
Sin separador de decimales
Default Ceros</t>
  </si>
  <si>
    <t>Este campo siempre debe llegar en ceros.
Error: PORCENTAJE NO VALIDO PARA EL TIPO DE SEGURO</t>
  </si>
  <si>
    <t xml:space="preserve">Información seguro de Inciendio y terremo </t>
  </si>
  <si>
    <t xml:space="preserve">Para la migración de  el porcentaje en seguro de incendio y terremoto siempre debe enviar el default.
</t>
  </si>
  <si>
    <t>VAL-AVAL</t>
  </si>
  <si>
    <t>Valor de avalúo (valor destructible)</t>
  </si>
  <si>
    <t>16,2</t>
  </si>
  <si>
    <t>Si en el campo Tipo de seguro que identifica la forma de liquidación de Incendio y Terremoto registra 2, enviar la información del valor de la base (area constrida o valor destructible) del cobro del seguro de incendio y terremoto.
Sin separador de decimales, rellenar con ceros a la izquierda
Valor 
Default Ceros</t>
  </si>
  <si>
    <t>Para los productos que en la campo (CODLICRE-IN - 10)  se registra "117, 118, 119", siempre deben registrar esta informacion valor de avaluo (valor destructible).
Error: DEBE RELACIONAR INFORMACION VALOR AVALUO</t>
  </si>
  <si>
    <t>16</t>
  </si>
  <si>
    <t>18</t>
  </si>
  <si>
    <t>Enviar la información del Valor de avaluo (valor destructible).
Sin separador de decimales, rellenar con ceros a la izquierda.</t>
  </si>
  <si>
    <t>TIP-POLIZAINC</t>
  </si>
  <si>
    <t>Tipo de seguro Incendio y Terremoto</t>
  </si>
  <si>
    <t>Si en el campo Tipo de seguro que identifica la forma de liquidación Todo riesgo vehiculo registra 0, se debe enviar el tipo de poliza,
I - Interno
E - Externo
M - Empleado
X - Exonerado
Default vacio</t>
  </si>
  <si>
    <t>I - Interno
E - Externo
M - Empleado
X - Exonerado</t>
  </si>
  <si>
    <t>COD-ASEGTE</t>
  </si>
  <si>
    <t>Código de la aseguradora seguro Incendio y Terremoto</t>
  </si>
  <si>
    <t>Enviar el código de la aseguradora en caso de que el campo Tipo de seguro que identifica la forma de liquidación Todo riesgo vehiculo se registra E.
En caso contrario enviar ceros.
Default Ceros</t>
  </si>
  <si>
    <t>Enviar el código de la aseguradora en caso de que el campo 218 (TIP-POLIZAINC) se registre E.
En caso contrario enviar ceros.
Si es un empleado de  o cliente exonerado este campo debe llegar con el default.</t>
  </si>
  <si>
    <t>FEC-VTOTE</t>
  </si>
  <si>
    <t>Fecha de vencimiento seguro Incendio y Terremoto</t>
  </si>
  <si>
    <t>Enviar la fecha de vencimiento de la poliza en caso de que el campo Tipo de seguro que identifica la forma de liquidación Todo riesgo vehiculo se registra E. 
Formato aaaammdd.
En caso contrario enviar ceros.
Default ceros</t>
  </si>
  <si>
    <t>Si en el campo TIP-POLIZAINC se registra E "Externo", se debe enviar fecha.
"POLIZA EXTERNA REQUIERE FECHA DE VENCIMIENTO"</t>
  </si>
  <si>
    <t>Enviar la fecha de vencimiento de la póliza en caso de que el campo 218 (TIP-POLIZAINC) se registre E. Formato aaaammdd.
En caso contrario enviar ceros.
Si es un empleado de  o cliente exonerado este campo debe llegar con el default.</t>
  </si>
  <si>
    <t>TIP-POLIZA</t>
  </si>
  <si>
    <t>Tipo de póliza del seguro vida consumo</t>
  </si>
  <si>
    <t>Si en el campo Tipo de seguro que identifica la forma de liquidación consumo registra 3 o 0, se debe enviar el tipo de poliza,
I - Interno
E - Externo
M - Sin seguro empleado
X -Sin seguro por exoneración
Default vacio</t>
  </si>
  <si>
    <t xml:space="preserve">Si en los campos del 100 al 103, 211 se envian con valores diferentes al default, enviar I (Interno), de lo contrario.
"TIPO DE POLIZA ERRADA"
Si en los campos del 100 al 103, 211 se envian con el default, enviar E (Externo), M (Empleado), X (Exonerado), delo contrario.
"TIPO DE POLIZA ERRADA"
</t>
  </si>
  <si>
    <t>I - Interno
E - Externo
M - Sin seguro empleado
X -Sin seguro por exoneración
Default vacio</t>
  </si>
  <si>
    <t xml:space="preserve">Si en los campos del 100 al 103, 211 se envian con valores diferentes al default, enviar I (Interno).
Si en los campos del 100 al 103, 211 se envian con el default, enviar E (Externo), M (Empleado), X (Exonerado).
</t>
  </si>
  <si>
    <t>COD-ASEGVIDC</t>
  </si>
  <si>
    <t>Enviar el código de la aseguradora en caso de que el campo Tipo de seguro que identifica la forma de liquidación consumo se registra E.
En caso contrario enviar ceros.
Default Ceros</t>
  </si>
  <si>
    <t>Enviar el codigo de la aseguradora en caso de que el campo 221 (TIP-POLIZA) se registre E.
En caso contrario enviar ceros.
Anexo (Cod. Aseguradoras)</t>
  </si>
  <si>
    <t>FEC-VTOVIDC</t>
  </si>
  <si>
    <t>Fecha de vencimiento en caso de que la póliza sea externa</t>
  </si>
  <si>
    <t>Enviar la fecha de vencimiento de la poliza en caso de que el campo Tipo de seguro que identifica la forma de liquidación consumo  se registra E. 
Formato aaaammdd.
En caso contrario enviar ceros.
Default ceros</t>
  </si>
  <si>
    <t>Si en el campo TIP-POLIZA se registra E "Externo", se debe enviar fecha</t>
  </si>
  <si>
    <t>Enviar la fecha de vencimiento de la poliza en caso de que el campo 221 (TIP-POLIZA) se registre E. Formato aaaammdd.
En caso contrario enviar ceros.</t>
  </si>
  <si>
    <t>TIP-POLIZA4</t>
  </si>
  <si>
    <t>Tipo de póliza del seguro todo riesgo vehiculo, Leasing Financiero, Libre destino (construcción en terreno propio)</t>
  </si>
  <si>
    <t>Si en el campo Tipo de seguro que identifica la forma de liquidación Todo riesgo vehiculo registra 0, se debe enviar el tipo de poliza,
I - Interno
E - Externo
M - Sin seguro empleado
X -Sin seguro por exoneración
Default vacio</t>
  </si>
  <si>
    <t>Si en los campos del 108 al 111, se envian con valores diferentes al default, enviar I (Interno), de lo contrario.
"TIPO DE POLIZA ERRADA"
Si en los campos del 108 al 111, se envian con el default, enviar E (Externo), M (Empleado), X (Exonerado), o el Default, de lo contrario.
"TIPO DE POLIZA ERRADA"</t>
  </si>
  <si>
    <t>Si en los campos del 108 al 111, se envian con valores diferentes al default, enviar I (Interno).
Si en los campos del 108 al 111, se envian con el default, enviar E (Externo), M (Empleado), X (Exonerado).</t>
  </si>
  <si>
    <t>COD-ASEGTR</t>
  </si>
  <si>
    <t>Código de la aseguradora seguro todo riesgo vehiculo, Leasing Financiero, Libre destino (construcción en terreno propio)</t>
  </si>
  <si>
    <t>Para crédito de Vehículos (CODLINCRE-IN "015), Leasing Financiero (CODLINCRE-IN 091, 092, 093, 094, 095, 096) o Libre destino (CODLINCRE-IN 001y que en el campo CONS_VIVIE tenga marcación 01), si en el campo TIP-POLIZAT4 se registra E "Externo", debe llegar uno de los codigos que se encuentra en el anexo (Cod. Aseguradoras).
Si llega un valor diferente a cero, validar que sea un valor que se encuentre dentro del anexo, de lo contrario generar error:
CODIGO DE ASEGURADORA NO VALIDO</t>
  </si>
  <si>
    <t>Enviar el código de la aseguradora en caso de que el campo 224 (TIP-POLIZA4) se registre E.
En caso contrario enviar ceros.</t>
  </si>
  <si>
    <t>FEC-VTOTR</t>
  </si>
  <si>
    <t>Fecha de vencimiento seguro todo riesgo vehiculo, Leasing Financiero, Libre destino (construcción en terreno propio)</t>
  </si>
  <si>
    <t>Si en el campo TIP-POLIZA4 se registra E "Externo", se debe enviar fecha</t>
  </si>
  <si>
    <t>Enviar la fecha de vencimiento de la póliza en caso de que el campo 224 (TIP-POLIZA4) se registre E. Formato aaaammdd.
En caso contrario enviar ceros.</t>
  </si>
  <si>
    <t>TIP-FRECH</t>
  </si>
  <si>
    <t>Registrar el Código de frech que tiene la obligacion</t>
  </si>
  <si>
    <t>Si en el campo Señal que indica si es frech se registro 1, se debe enviar el código que corresponde al tipo de frech que tiene la obligacion.
* Para los crèditos que ya finalizo la cobertura de beneficio frech enviar este campo con defautl.
03 - FRECH III (Decreto 701 de 2013) NO VIS
06 - FRECH VI: No VIS - PIPE (Decreto 2500 de 2015)
07 - FRECH No VIS II (Decreto 1233 de 2020)
08 - Eco cobertura FRECH No VIS II (Resolución 0019 del 13 de enero de 2022)
Default 0</t>
  </si>
  <si>
    <t>Tipo de Frech</t>
  </si>
  <si>
    <t>TIP FRECH</t>
  </si>
  <si>
    <t xml:space="preserve">Asociado al campo 151 (SENENTTER-IN)
</t>
  </si>
  <si>
    <t>03 - FRECH III (Decreto 701 de 2013) NO VIS
06 - FRECH VI: No VIS - PIPE (Decreto 2500 de 2015)
07 - FRECH No VIS II (Decreto 1233 de 2020)
08 - Eco cobertura FRECH No VIS II (Resolución 0019 del 13 de enero de 2022)
Default 0</t>
  </si>
  <si>
    <r>
      <t>Si en el campo 151 (SENENTTER-IN)</t>
    </r>
    <r>
      <rPr>
        <b/>
        <sz val="11"/>
        <color rgb="FF000000"/>
        <rFont val="Calibri"/>
        <family val="2"/>
        <scheme val="minor"/>
      </rPr>
      <t xml:space="preserve"> </t>
    </r>
    <r>
      <rPr>
        <sz val="11"/>
        <color rgb="FF000000"/>
        <rFont val="Calibri"/>
        <family val="2"/>
        <scheme val="minor"/>
      </rPr>
      <t>se registro 1, se debe enviar el codigo que corresponde al tipo de frech que tiene la obligacion.
* Para los crèditos que ya finalizo la cobertura de beneficio frech enviar este campo con defautl.</t>
    </r>
  </si>
  <si>
    <t>VAL-COB</t>
  </si>
  <si>
    <t>Valor cobertura frech</t>
  </si>
  <si>
    <t>15,2</t>
  </si>
  <si>
    <t>Enviar el valor de la cobertura.
Rellenar con ceros a la izquierda.
De lo contario enviar ceros.
* Para los crèditos que ya finalizo la cobertura de beneficio frech enviar este campo con defautl.
Default Ceros</t>
  </si>
  <si>
    <t>Si en el campo 227 (TIP-FRECH) se registro 07 o 08, en este campo debe venir un valor diferente de cero, en caso de no registrar valor:
Error: FALTA VALOR DE COBERTURA DE ACUERDO CON EL TIPO DE FRECH</t>
  </si>
  <si>
    <t>15</t>
  </si>
  <si>
    <t>17</t>
  </si>
  <si>
    <t>Enviar el valor de la cobertura.
Rellenar con ceros a la izquierda.
De lo contario enviar ceros.
* Para los crèditos que ya finalizo la cobertura de beneficio frech enviar este campo con defautl.</t>
  </si>
  <si>
    <t>PORC-COB</t>
  </si>
  <si>
    <t>Porcentaje de cobertura frech</t>
  </si>
  <si>
    <t>Enviar el porcentaje de la cobertura.
Rellenar con ceros a la derecha sin separador de decimales.
De lo contario enviar ceros.
* Para los crèditos que ya finalizo la cobertura de beneficio frech enviar este campo con defautl.
Default Ceros</t>
  </si>
  <si>
    <t>Si en el campo 227 (TIP-FRECH) se registro un valor diferente de 07 u 08, enviar el porcentaje de la cobertura (diferente de cero), en caso de no registrar valor:
Error: FALTA PORCENTAJE DE COBERTURA DE ACUERDO CON EL TIPO DE FRECH</t>
  </si>
  <si>
    <t>Enviar el porcentaje de la cobertura.
Rellenar con ceros a la derecha sin separador de decimales.
De lo contario enviar ceros.
* Para los crèditos que ya finalizo la cobertura de beneficio frech enviar este campo con defautl.</t>
  </si>
  <si>
    <t>FEC-INICOB</t>
  </si>
  <si>
    <t>Fecha de inicio de cobertura frech</t>
  </si>
  <si>
    <t>Enviar la fecha en la que inicia el conteo de las 84 cuotas de la cobertura frech.
Formato aaaammdd.
* Para los crèditos que ya finalizo la cobertura de beneficio frech enviar este campo con defautl.
Default Ceros</t>
  </si>
  <si>
    <t>Si en el campo (SENENTTER-IN - 151), se registra 1, siempre debe registrarse fecha de inicio de cobertura. (Debe ser inferior a la fecha de migración)
Error: NO SE REGISTRO FECHA DE INICIO FRECH</t>
  </si>
  <si>
    <t>Enviar la fecha en la que inicia el conteo de las 84 cuotas de la cobertura frech.
Formato aaaammdd.
* Para los crèditos que ya finalizo la cobertura de beneficio frech enviar este campo con defautl.</t>
  </si>
  <si>
    <t>VALFRECH</t>
  </si>
  <si>
    <t>Valor causado por interés frech a la fecha de migración</t>
  </si>
  <si>
    <t>Para las operaciones que tienen cobertura frech, enviar el valor causado a la fecha de migración.
Para las operaciones que no tienen cobertura frech, se debe relacionar el default.
Default ceros</t>
  </si>
  <si>
    <t>Si en el campo SENENTTER-IN, se registro 1, este campo debe ser mayor a cero, de lo contrario:
Error: FALTA VALOR DE INTERES FRECH</t>
  </si>
  <si>
    <t>Valor 
Default ceros</t>
  </si>
  <si>
    <t>12</t>
  </si>
  <si>
    <t xml:space="preserve">Para las operaciones que tienen cobertura frech, enviar el valor causado a la fecha de migración.
</t>
  </si>
  <si>
    <t>NUM-TIT</t>
  </si>
  <si>
    <t>Número de Titulares adicionales vivienda (No se incluye el titular principal)</t>
  </si>
  <si>
    <t>Registrar la cantidad de titulares o locatarios de la obligaciones (maximo 3 adicionales), en caso de no tener titulares adicionales registrar cero (0), y los campos desde Número de Identificación Titular o Locatario 2 al Teléfono del Titular o locatario 4 enviarlos con el default,
Estos campos se validan para las lineas registradas en el campo como código de linea = 119 y 117.
Si tiene más de 3 titulares adicionales, registrar la información en el anexo (Titulares Ad. VH, LH &gt;4)
Default Ceros</t>
  </si>
  <si>
    <t>En este campo se debe registrar un valor entre 0 y 3, de lo contrario enviar error: "NUMERO DE TITULARES NO PERMITIDOS"
Dependiendo del numero de titulares se debe registrar la informacion asi:
* 0 = Los campos desde el (232 - ID-LOC1) hasta el (275 - TELCLI-IN3) deben llegar con el default.
* 1 = Se debe registrar informacion en los campos 232 - ID-LOC1 hasta 236 - SIGCLI-IN1, 243 - ACTECOPRE-IN1 hasta 245 - TELCLI-IN1.
* 2 = Se debe registrar informacion en los campos 232 - ID-LOC1 hasta 236 - SIGCLI-IN1, 243 - ACTECOPRE-IN1 hasta 251 - SIGCLI-IN2, 258 - ACTECOPRE-IN2 hasta 260 - TELCLI-IN2.
* 3 = Se debe registrar informacion en los campos 232 - ID-LOC1 hasta 236 - SIGCLI-IN1, 243 - ACTECOPRE-IN1 hasta 251 - SIGCLI-IN2, 258 - ACTECOPRE-IN2 hasta 260 - SIGCLI-IN3, 273 - ACTECOPRE-IN3 hasta 275 - TELCLI-IN3.</t>
  </si>
  <si>
    <r>
      <t>Para operaciones de vivienda y Leasing habitacional, si existen titulares o locatarios adicionales registra en el campo 223 (</t>
    </r>
    <r>
      <rPr>
        <b/>
        <sz val="11"/>
        <rFont val="Calibri"/>
        <family val="2"/>
        <scheme val="minor"/>
      </rPr>
      <t>NUM-TIT)</t>
    </r>
    <r>
      <rPr>
        <sz val="11"/>
        <rFont val="Calibri"/>
        <family val="2"/>
        <scheme val="minor"/>
      </rPr>
      <t>, la cantidad, y dependiendo la cantidad se debe registrar la informacion de cada uno en los campos desde 224 (</t>
    </r>
    <r>
      <rPr>
        <b/>
        <sz val="11"/>
        <rFont val="Calibri"/>
        <family val="2"/>
        <scheme val="minor"/>
      </rPr>
      <t>TIPIDECLI-IN1)</t>
    </r>
    <r>
      <rPr>
        <sz val="11"/>
        <rFont val="Calibri"/>
        <family val="2"/>
        <scheme val="minor"/>
      </rPr>
      <t xml:space="preserve"> hasta el 253 (</t>
    </r>
    <r>
      <rPr>
        <b/>
        <sz val="11"/>
        <rFont val="Calibri"/>
        <family val="2"/>
        <scheme val="minor"/>
      </rPr>
      <t>TELCLI-IN3)
Información seguro Vida vivienda</t>
    </r>
  </si>
  <si>
    <t>Registrar la cantidad de titulares o locatarios de la obligación (maximo 3 adicionales), en caso de no tener titulares adicionales registrar cero (0), y los campos desde 216 ID-LOC1 al TELCLI-IN3 enviarlos con el default,
Estos campos se validan para las lineas registradas en el campo 10 - CODLINCRE-IN = 119 , 118 y 117.
Si tiene más de 3 titulares adicionales, registrar la información en el anexo (Titulares Ad. VH, LH)</t>
  </si>
  <si>
    <t>ID-LOC1</t>
  </si>
  <si>
    <t>Número de Identificación Titular o Locatario 2</t>
  </si>
  <si>
    <t>Rellenar con ceros a la izquierda
Default Ceros</t>
  </si>
  <si>
    <t>TIPIDECLI-IN1</t>
  </si>
  <si>
    <t>Tipo de Identificación del titular o locatario 2</t>
  </si>
  <si>
    <t>C Cédula Ciudadanía                   
E Cédula Extranjería                              
I Nit de Extranjería                      
J Nit Persona Jurídica                    
L Nit Persona Natural                                                           
P Pasaporte                                            
R Registro Civil                                        
T Tarjeta de Identidad      
Default Cero</t>
  </si>
  <si>
    <t xml:space="preserve">C Cédula Ciudadanía                   
E Cédula Extranjería                              
I Nit de Extranjería                      
J Nit Persona Jurídica                    
L Nit Persona Natural                        
N  Otro                                              
P Pasaporte                                            
R Registro Civil                                        
T Tarjeta de Identidad      </t>
  </si>
  <si>
    <t>Enviar en cero si no tiene titular</t>
  </si>
  <si>
    <t>NOMBRECLI-IN1</t>
  </si>
  <si>
    <t>Nombre completo del Titular o locatario 2</t>
  </si>
  <si>
    <t>No debe tener caracteres especiales como tildes, porcentaje, ñ, entre otros.
Se debe alinear a la izquierda con espacios a la derecha
Default Espacio</t>
  </si>
  <si>
    <t>El nombre no debe tener caracteres especiales, de lo contrario generar mensaje de error.
Diferente de Espacio
Error: CON CARACTERES ESPECIALES</t>
  </si>
  <si>
    <t>Default Espacio</t>
  </si>
  <si>
    <t>SIGCLI-IN1</t>
  </si>
  <si>
    <t>Nombre corto Titular o locatario 2</t>
  </si>
  <si>
    <t>No debe tener caracteres especiales como tildes, porcentaje, ñ, entre otros.
Se debe alinear a la izquierda con espacios a la derecha
Para persona natural - Enviar Primer nombre primer apellido.
Default cero</t>
  </si>
  <si>
    <t>No debe tener caracteres especiales como tildes, porcentaje, ñ, entre otros.
Se debe alinear a la izquierda con espacios a la derecha
Para persona natural - Enviar Primer nombre primer apellido.</t>
  </si>
  <si>
    <t>VALSEG-IN1</t>
  </si>
  <si>
    <t>Valor para liquidación de seguro de vida Titular o Locatario 2</t>
  </si>
  <si>
    <t>Si el seguro de vida del Titular 2 o locatario Adicional 2 es un valor fijo, es obligatorio este campo, el valor debe incluir la extraprima en caso de existir.
Si el seguro no es valor fijo o no cuenta con seguro enviar ceros.
Default ceros</t>
  </si>
  <si>
    <t>PORCSEG-IN1</t>
  </si>
  <si>
    <t>Porcentaje de cobro de seguro de vida Titular o Locatario 2</t>
  </si>
  <si>
    <t>Si el seguro de vida del Titular 2 o locatario Adicional 2 es un porcentaje es obligatorio este campo, este porcentaje debe incluir la extraprima en caso de existir.
Si el seguro no es valor fijo o no cuenta con seguro enviar ceros
Default ceros</t>
  </si>
  <si>
    <t>Si en el campo TIP-POLIZA1 se envia I (Interno), debe relacionar valor mayor a cero, de lo contrario:
"FALTA PORCENTAJE DE SEGURO TITULAR ADICIONAL"</t>
  </si>
  <si>
    <t>EXTPRIM1</t>
  </si>
  <si>
    <t>Tarifa de extraprima seguro de vida Titular o Locatario 2</t>
  </si>
  <si>
    <t>Si el titular 2 o locatario adicional 2 cuenta con extraprima, en este campo se debe enviar la tarifa correspondiente.
Default ceros</t>
  </si>
  <si>
    <t>Si el titular o locatario adicional cuenta con extraprima, en este campo se debe enviar la tarifa correspondiente.</t>
  </si>
  <si>
    <t>TIP-POLIZA1</t>
  </si>
  <si>
    <t>Tipo de póliza del seguro de vida Titular o locatario 2</t>
  </si>
  <si>
    <t xml:space="preserve">Si la póliza es de la misma aseguradora de  enviar la letra I, en caso contrario enviar E.
En caso que no tenga seguro enviar vacio
I - Interno
E - Externo
Vacio - Sin Seguro </t>
  </si>
  <si>
    <t>I - Interno
E - Externo
Default Vacío</t>
  </si>
  <si>
    <t>Siempre se debe enviar el tipo de poliza del crédito.
Si no tiene poliza enviar el default.</t>
  </si>
  <si>
    <t>COD-ASEG1</t>
  </si>
  <si>
    <t>Código de la aseguradora  Titular o locatario 2</t>
  </si>
  <si>
    <t>Enviar el código de la aseguradora en caso de que en el campo Tipo de póliza del seguro de vida Titular o locatario 2 registre E.
De lo contrario enviar ceros. 
Default Ceros</t>
  </si>
  <si>
    <t xml:space="preserve">Enviar el código de la aseguradora en caso de que en el campo 236 (TIP-POLIZA1) registre E.
De lo contrario enviar ceros. </t>
  </si>
  <si>
    <t>FEC-VTO1</t>
  </si>
  <si>
    <t>Fecha de vencimiento de la póliza Titular o locatario 2</t>
  </si>
  <si>
    <t>Enviar la fecha de vencimiento de la póliza en caso de que en el campo Tipo de póliza del seguro de vida Titular o locatario 2 registre E. 
Formato aaaammdd.
De lo contrario enviar ceros.
Default ceros</t>
  </si>
  <si>
    <t>Si en el campo TIP-POLIZA1 se registra E "Externo", se debe enviar fecha</t>
  </si>
  <si>
    <t>Fecha 
Default ceros</t>
  </si>
  <si>
    <t>Enviar la fecha de vencimiento de la póliza en caso de que en el campo 236 (TIP-POLIZA1) registre E. Formato aaaammdd.
De lo contrario enviar ceros.</t>
  </si>
  <si>
    <t>ACTECOPRE-IN1</t>
  </si>
  <si>
    <t>Actividad económica del Titular o locatario 2
Registra código CIIU</t>
  </si>
  <si>
    <t>Registrar código CIIU
Default Cero</t>
  </si>
  <si>
    <t>Registra código CIIU (anexo - CIIU)</t>
  </si>
  <si>
    <t>DIRCLI-IN1</t>
  </si>
  <si>
    <t>Dirección Titular o locatario 2</t>
  </si>
  <si>
    <t>No debe tener caracteres especiales como tildes, porcentaje, ñ, entre otros.
Se debe alinear a la izquierda con espacios a la derecha
Ej: Calle 75 No 87 87 Apt 1011
Default Espacio</t>
  </si>
  <si>
    <t>Diferente de Espacio</t>
  </si>
  <si>
    <r>
      <t xml:space="preserve">No debe tener caracteres especiales como tildes, porcentaje, ñ, entre otros.
Se debe alinear a la izquierda con espacios a la derecha
Ej: </t>
    </r>
    <r>
      <rPr>
        <b/>
        <sz val="11"/>
        <rFont val="Calibri"/>
        <family val="2"/>
        <scheme val="minor"/>
      </rPr>
      <t>Calle 75 No 87 87 Apt 1011</t>
    </r>
  </si>
  <si>
    <t>TELCLI-IN1</t>
  </si>
  <si>
    <t>Teléfono del Titular o locatario 2</t>
  </si>
  <si>
    <t>CIUDCLI1</t>
  </si>
  <si>
    <t>Nombre de ciudad de residencia del cliente 2</t>
  </si>
  <si>
    <t>Nombre de la ciudad del titular 2 o locatario adicional 2.
Defaulr Ceros</t>
  </si>
  <si>
    <t>FECNACIM1</t>
  </si>
  <si>
    <t>Fecha de nacimiento 2</t>
  </si>
  <si>
    <t>Fecha de nacimiento del titular 2 o locatario adicional 2.
Formato es aaaammdd
Default ceros</t>
  </si>
  <si>
    <t>ID-LOC2</t>
  </si>
  <si>
    <t>Número de Identificación Titular o locatario 3</t>
  </si>
  <si>
    <t>TIPIDECLI-IN2</t>
  </si>
  <si>
    <t>Tipo de Identificación del titular o locatario 3</t>
  </si>
  <si>
    <t>C Cédula Ciudadanía                   
E Cédula Extranjería                              
I Nit de Extranjería                      
J Nit Persona Jurídica                    
L Nit Persona Natural                        
P Pasaporte                                            
R Registro Civil                                        
T Tarjeta de Identidad      
Default Cero</t>
  </si>
  <si>
    <t>NOMBRECLI-IN2</t>
  </si>
  <si>
    <t>Nombre completo del Titular o locatario 3</t>
  </si>
  <si>
    <t>SIGCLI-IN2</t>
  </si>
  <si>
    <t>Nombre corto Titular o locatario 3</t>
  </si>
  <si>
    <t>VALSEG-IN2</t>
  </si>
  <si>
    <t>Valor para liquidación de seguro de vida Titular o Locatario 3</t>
  </si>
  <si>
    <t>Si el seguro de vida Titular 3 o locatario Adicional 3 es un valor fijo es obligatorio este campo, el valor debe incluir la extraprima en caso de existir.
Si el seguro no es valor fijo o no cuenta con seguro enviar ceros
Default ceros</t>
  </si>
  <si>
    <t>PORCSEG-IN2</t>
  </si>
  <si>
    <t>Porcentaje de cobro de seguro de vida Titular o Locatario 3</t>
  </si>
  <si>
    <t>Si el seguro de vida Titular 3 o locatario  Adicional 3 es un porcentaje es obligatorio este campo, este porcentaje debe incluir la extraprima en caso de existir.
Si el seguro no es valor fijo o no cuenta con seguro enviar ceros
Default cero</t>
  </si>
  <si>
    <t>Si en el campo TIP-POLIZAVIV se envia I (Interno), debe relacionar valor mayor a cero, de lo contrario:
"FALTA PORCENTAJE DE SEGURO TITULAR ADICIONAL"</t>
  </si>
  <si>
    <t>EXTPRIM2</t>
  </si>
  <si>
    <t>Tarifa de extraprima seguro de vida Titular o Locatario 3</t>
  </si>
  <si>
    <t>Si el titular 3 o locatario adicional 3 cuenta con extraprima, en este campo se debe enviar la tarifa correspondiente.
Default ceros</t>
  </si>
  <si>
    <t>TIP-POLIZAVIV</t>
  </si>
  <si>
    <t>Tipo de póliza del seguro de vida Titular o locatario 3</t>
  </si>
  <si>
    <t>COD-ASEG2</t>
  </si>
  <si>
    <t>Código de la aseguradora Titular o locatario 3</t>
  </si>
  <si>
    <t>Enviar el código de la aseguradora en caso de que en el campo Tipo de póliza del seguro de vida Titular o locatario 3 registre E.
De lo contrario enviar ceros. 
Default Ceros</t>
  </si>
  <si>
    <t>FEC-VTO2</t>
  </si>
  <si>
    <t>Fecha de vencimiento de la póliza</t>
  </si>
  <si>
    <t>Enviar la fecha de vencimiento de la póliza en caso de que en el campo Tipo de póliza del seguro de vida Titular o locatario 3 registre E. 
Formato aaaammdd.
De lo contrario enviar ceros.
Default ceros</t>
  </si>
  <si>
    <t>Si en el campo TIP-POLIZAVIV se registra E "Externo", se debe enviar fecha</t>
  </si>
  <si>
    <t>ACTECOPRE-IN2</t>
  </si>
  <si>
    <t>Actividad económica Titular o locatario 3
Registra código CIIU</t>
  </si>
  <si>
    <t>DIRCLI-IN2</t>
  </si>
  <si>
    <t>Dirección del cliente Titular o locatario 3</t>
  </si>
  <si>
    <t>TELCLI-IN2</t>
  </si>
  <si>
    <t>Teléfono del cliente Titular o locatario 3</t>
  </si>
  <si>
    <t>CIUDCLI2</t>
  </si>
  <si>
    <t>Nombre de ciudad de residencia del cliente 3</t>
  </si>
  <si>
    <t>Nombre de la ciudad  del titular 3 o locatario adicional 3.
Defaulr Ceros</t>
  </si>
  <si>
    <t>FECNACIM2</t>
  </si>
  <si>
    <t>Fecha de nacimiento 3</t>
  </si>
  <si>
    <t>Fecha de nacimiento  del titular 3 o locatario adicional 3.
Formato es aaaammdd
Default ceros</t>
  </si>
  <si>
    <t>ID-LOC3</t>
  </si>
  <si>
    <t>Número de Identificacion del titular o locatario 4</t>
  </si>
  <si>
    <t>TIPIDECLI-IN3</t>
  </si>
  <si>
    <t>Tipo de Identificación del titular o locatario 4</t>
  </si>
  <si>
    <t>NOMBRECLI-IN3</t>
  </si>
  <si>
    <t>Nombre completo del Titular o locatario 4</t>
  </si>
  <si>
    <t>SIGCLI-IN3</t>
  </si>
  <si>
    <t>Nombre corto Titular o locatario 4</t>
  </si>
  <si>
    <t xml:space="preserve">No debe tener caracteres especiales como tildes, porcentaje, ñ, entre otros.
Se debe alinear a la izquierda con espacios a la derecha
</t>
  </si>
  <si>
    <t>VALSEG-IN3</t>
  </si>
  <si>
    <t>Valor para liquidación de seguro de vida Titular o Locatario 4</t>
  </si>
  <si>
    <t>Si el seguro de vida Titular 4 o locatario Adicional 4 es un valor fijo es obligatorio este campo, el valor debe incluir la extraprima en caso de existir.
Si el seguro no es valor fijo o no cuenta con seguro enviar ceros
Default ceros</t>
  </si>
  <si>
    <t>PORCSEG-IN3</t>
  </si>
  <si>
    <t>Porcentaje de cobro de seguro de vida Titular o Locatario 4</t>
  </si>
  <si>
    <t>Si el seguro de vida Titular 4 o locatario Adicional 4 es un porcentaje es obligatorio este campo, este porcentaje debe incluir la extraprima en caso de existir.
Si el seguro no es valor fijo o no cuenta con seguro enviar ceros
Default ceros</t>
  </si>
  <si>
    <t>Si en el campo TIP-POLIZA3 se envia I (Interno), debe relacionar valor mayor a cero, de lo contrario:
"FALTA PORCENTAJE DE SEGURO TITULAR ADICIONAL"</t>
  </si>
  <si>
    <t>EXTPRIM3</t>
  </si>
  <si>
    <t>Tarifa de extraprima seguro de vida Titular o Locatario 4</t>
  </si>
  <si>
    <t>Si el titular 4 o locatario adicional 4 cuenta con extraprima, en este campo se debe enviar la tarifa correspondiente.
Default ceros</t>
  </si>
  <si>
    <t>TIP-POLIZA3</t>
  </si>
  <si>
    <t>Tipo de seguro de Vida Titular o locatario 4</t>
  </si>
  <si>
    <t>Si la póliza es de la misma aseguradora de BbB enviar la letra I, en caso contrario enviar E.
En caso que no tenga seguro enviar vacio
I - Interno
E - Externo
Default Vacio</t>
  </si>
  <si>
    <t>COD-ASEG3</t>
  </si>
  <si>
    <t>Código de la aseguradora Titular o locatario 4</t>
  </si>
  <si>
    <t>Enviar el código de la aseguradora en caso de que en el campo Tipo de póliza del seguro de vida Titular o locatario 4 registre E.
De lo contrario enviar ceros. 
Default Ceros</t>
  </si>
  <si>
    <t>FEC-VTO3</t>
  </si>
  <si>
    <t>Fecha de vencimiento Titular o locatario 4</t>
  </si>
  <si>
    <t>Enviar la fecha de vencimiento de la póliza en caso de que en el campo Tipo de póliza del seguro de vida Titular o locatario 4 registre E. 
Formato aaaammdd.
De lo contrario enviar ceros.
Default ceros</t>
  </si>
  <si>
    <t>Si en el campo TIP-POLIZA3 se registra E "Externo", se debe enviar fecha</t>
  </si>
  <si>
    <t>ACTECOPRE-IN3</t>
  </si>
  <si>
    <t xml:space="preserve">Actividad económica Titular o locatario 4.  
Registra código CIIU </t>
  </si>
  <si>
    <t>DIRCLI-IN3</t>
  </si>
  <si>
    <t>Dirección del Titular o locatario 4</t>
  </si>
  <si>
    <t>TELCLI-IN3</t>
  </si>
  <si>
    <t>Teléfono del Titular o locatario 4</t>
  </si>
  <si>
    <t>CIUDCLI3</t>
  </si>
  <si>
    <t>Nombre de ciudad de residencia del cliente 4</t>
  </si>
  <si>
    <t>Nombre de la ciudad del titular 4 o locatario adicional 4 .
Defaulr Ceros</t>
  </si>
  <si>
    <t>FECNACIM3</t>
  </si>
  <si>
    <t>Fecha de nacimiento 4</t>
  </si>
  <si>
    <t>Fecha de nacimiento del titular 4 o locatario adicional 4 .
Formato es aaaammdd
Default ceros</t>
  </si>
  <si>
    <t>EXTPRIM</t>
  </si>
  <si>
    <t>Tarifa de extraprima seguro de vida</t>
  </si>
  <si>
    <t>Para el seguro de vida consumo y vida vivienda (1 - primer titular), si cuenta con extraprima, en este campo se debe enviar la tarifa correspondiente.
Default ceros.</t>
  </si>
  <si>
    <t>Si en el campo 138-SENEXTPRI-IN, se envia 1, en este campo debe venir un valor mayor a cero, de lo contrario.
"FALTA TARIFA EXTRAPRIMA"</t>
  </si>
  <si>
    <t>Si el titular cuenta con extraprima, en este campo se debe enviar la tarifa correspondiente.</t>
  </si>
  <si>
    <t>PRODALS</t>
  </si>
  <si>
    <t xml:space="preserve">Producto a migrar 
</t>
  </si>
  <si>
    <t xml:space="preserve">Se debe relacionar el producto dependiento la linea de crédito que se va a migrar, este producto se encuentra relacionado en el anexo (Linea ).
Ej: Linea 005 - Producto BB01
Rellenar con ceros a la izquierda
</t>
  </si>
  <si>
    <t>Se debe validar que de acuerdo con la linea relacionada en el campo CODLINCRE-IN el dato relacionado corresponda a lo que se encuentra en el anexo (Lineas  - campo PRODUCTO)
Error: "PRODUCTO NO CORRESPONDE A LA LINEA DE CREDITO</t>
  </si>
  <si>
    <t>4</t>
  </si>
  <si>
    <t>Se debe relacionar el producto dependiento la linea de credito que se va a migrar, este producto se encuentra relacionado en el anexo (Linea ).
Ej: Linea 005 - Producto BB01</t>
  </si>
  <si>
    <t>FECREEST</t>
  </si>
  <si>
    <t>Fecha de reestructuraciòn (Formato 536, ultimo corte, antes de migrar)</t>
  </si>
  <si>
    <t>Si en el campo estado del préstamo se registró 05 (reestructurado), se debe enviar la fecha de reestructuración.
Formato aaaammdd
Default ceros</t>
  </si>
  <si>
    <t>Formato aaaammdd
Default Ceros</t>
  </si>
  <si>
    <t>MARLIBRA</t>
  </si>
  <si>
    <t>Marcación Libranza Institucional</t>
  </si>
  <si>
    <t xml:space="preserve">Para las operaciones que en el campo Código de Linea se seleccione (131), indicar si corresponde a Libranza Institucional.
01 - Libranza Institucional
Defaulf espacio
</t>
  </si>
  <si>
    <t>01 - Libranza Institucional
Defaulf espacio</t>
  </si>
  <si>
    <t xml:space="preserve">Para las operaciones que en el campo CODLINCRE-IN se seleccione (131), indicar si corresponde a Libranza Institucional.
</t>
  </si>
  <si>
    <t>INTDISTR</t>
  </si>
  <si>
    <t>Valor pendiente de cobro para Interés distribuido</t>
  </si>
  <si>
    <t>10,2</t>
  </si>
  <si>
    <t>Para las operaciones que tenga valor pendiente de cobro de interés distribuido se debe enviar el valor total en este campo
Default ceros</t>
  </si>
  <si>
    <t>Si en el campo 195 (CONCAL4-IN) registra "I", en este campo se debe registrar un valor mayor a cero. En caso contrario debe registra ceros.
"FALTA SALDO DE VALOR INTERES DISTRIBUIDO"</t>
  </si>
  <si>
    <t>10</t>
  </si>
  <si>
    <t xml:space="preserve">Para las operaciones que tenga valor pendiente de cobro de interés distribuido se debe enviar el valor en este campo
</t>
  </si>
  <si>
    <t>ID_DEU</t>
  </si>
  <si>
    <t>Número del crédito principal / DEU</t>
  </si>
  <si>
    <t>Se debe diligenciar el numero de crèdito de las operaciones DEU y el principal.
* En el crédito principal se debe diligenciar en las 3 primeras pocisiones enviar "DEU" y en las 11 posiciones siguentes enviar el numero de crèdito de .
Ejemplo: DEUXXXXXXXXXXX (Donde las X corresponde al numero de crédito ).
* En el crédito DEU se debe diligenciar en las 3 primeras pocisiones enviar "PRI" y en las 11 posiciones siguentes enviar el numero de crèdito de .
Ejemplo: PRIXXXXXXXXXXX (Donde las X corresponde al numero de crédito ).
Siempre y cuando el crèdito principal y el DEU tengan saldo pendiente por cancelar, se debe enviar la relaciòn anterior, de lo contrario no enviar la marca.
Default ceros</t>
  </si>
  <si>
    <t xml:space="preserve">Se debe validar que deben existir la misma cantidad de registros que tengan DEU con la misma cantidad de resgistros que traigan PRI., de lo contrario:
"FALTAN CREDITOS DEU VS PRINCIPAL"
Adicional a la validación anterior:
Que el campo NUMPRESTA-IN, sea igual a un valor registrado en este campo, y que la cantidad encontrada sea igual a 1.
</t>
  </si>
  <si>
    <t>Se debe diligenciar el numero de crèdito de las operaciones DEU y el principal.
* En el crédito principal se debe diligenciar en las 3 primeras pocisiones enviar "DEU" y en las 11 posiciones siguentes enviar el numero de crèdito de .
Ejemplo: DEUXXXXXXXXXXX (Donde las X corresponde al numero de crédito ).
* En el crédito DEU se debe diligenciar en las 3 primeras pocisiones enviar "PRI" y en las 11 posiciones siguentes enviar el numero de crèdito de .
Ejemplo: PRIXXXXXXXXXXX (Donde las X corresponde al numero de crédito ).
Siempre y cuando el crèdito principal y el DEU tengan saldo pendiente por cancelar, se debe enviar la relaciòn anterior, de lo contrario no enviar la marca.</t>
  </si>
  <si>
    <t>SEGOBL_ACU</t>
  </si>
  <si>
    <t>Valor pendiente de cobro para seguro obligatorio (periodos de interés deudor e interés distribuido)</t>
  </si>
  <si>
    <t>Para las operaciones que cuentan con la funcionalidad de interés distribuido e interés deudor, se debe enviar el valor total que se encuentre pendiente de pago por seguros obligatorios.
Default ceros</t>
  </si>
  <si>
    <t xml:space="preserve">Para las operaciones que cuentan con la funcionalidad de interés distribuido e interés deudor, se debe enviar el valor total que se encuentre pendiente de pago por seguros obligatorios.
</t>
  </si>
  <si>
    <t>CONS_VIVIE</t>
  </si>
  <si>
    <t>Marcación para los créditos de consumo que forman parte de un futuro crédito de vivienda (construcción en terreno propio)</t>
  </si>
  <si>
    <t>Si el crédito de consumo hace parte de un proyecto de construcción en terreno propio Marcarlos en este campo con uno (1), en caso contrario cero.
Default 0</t>
  </si>
  <si>
    <t>Si el crédito de consumo hace parte de un proyecto de construcción en terreno propio Marcarlos en este campo con uno (1), en caso contrario cero.
0 - NO 
1 - SI</t>
  </si>
  <si>
    <t>VRCUPDISP</t>
  </si>
  <si>
    <t>Valor cupo disponible</t>
  </si>
  <si>
    <t>Si es un cupo rotativo (revolvente y no revolvente): Se debe registrar el valor del cupo disponible.
Para las demás operaciones enviar default.
Rellenar con ceros a la izquierda hasta completar el total del campo, sin separador de decimales
Default ceros.</t>
  </si>
  <si>
    <t>Si en el campo CODLINCRE-IN se registra 014,
Este campo debe ser igual a la diferencia en el campo VALPRESTA-IN menos el valor del campo VALSLDACT-IN.
Error: VALOR CUPO DISPONIBLE NO ES IGUAL A LA DIFERENCIA ENTRE EN CUPO APROBADO Y CUPO UTILIZADO</t>
  </si>
  <si>
    <t>CUPBLOQ</t>
  </si>
  <si>
    <t>Cupo bloqueado</t>
  </si>
  <si>
    <t>Si en el campo código linea se envia 014, se debe enviar si el cupo se encuentra bloqueado para realizar utilizaciones.
Para las demas operaciones enviar default.
Y - Si
N - No
Default N</t>
  </si>
  <si>
    <t>Si en el campo CODLINCRE-IN se registra 014, se puede registrar Y o N, para los demas productos siempre deben venir en N.
Error: TIPO DE PRODUCTO NO APLICA PARA CUPO BLOQUEADO</t>
  </si>
  <si>
    <t>Y - Si
N - No</t>
  </si>
  <si>
    <t>EXCCOBRO</t>
  </si>
  <si>
    <t>Exento de cobro</t>
  </si>
  <si>
    <t>Si en el campo código linea se envia 014, se debe enviar si esta exento de cbro de cuota de manejo.
Para las demas operaciones enviar default.
Y - Si
N - No
Default N</t>
  </si>
  <si>
    <t xml:space="preserve">Si en el campo CODLINCRE-IN se registra 014, se puede registrar Y o N, si se registra N en este campo los campos desde 116 - CODSEG5-IN hasta 119 - TIP-SEG5-IN deben venir diligenciados, de lo contrario:
Error: FALTA INFORMACION PARA EL COBRO DE CUOTA DE MANEJO
Para los demas productos siempre deben venir en N, y los campos desde 116 - CODSEG5-IN hasta 119 - TIP-SEG5-IN deben venir con default, de lo contrario:
Error: TIPO DE PRODUCTO NO APLICA PARA CUPO BLOQUEADO
</t>
  </si>
  <si>
    <t>Si o No</t>
  </si>
  <si>
    <t>VRUTIL</t>
  </si>
  <si>
    <t>Saldo de la utilización</t>
  </si>
  <si>
    <t>Siempre deben llegar en cero
Default ceros</t>
  </si>
  <si>
    <t>Para los créditos rotativos no revolventes, registrar en este campo el saldo de acuerdo con el resultado de la validación, de la estructura de Rotativo no revolvente.
El valor calculado debe ser igual al valor que se registro en el campo VALSLDACT-IN.</t>
  </si>
  <si>
    <t>: Enviar en ceros</t>
  </si>
  <si>
    <t>TASAUTIL</t>
  </si>
  <si>
    <t>Tasa de interés utilización</t>
  </si>
  <si>
    <t>Para los créditos rotativos no revolventes, registrar en este campo la tasa de acuerdo con el resultado de la validación, de la estructura de Rotativo no revolvente.</t>
  </si>
  <si>
    <t>PLAZUTIL</t>
  </si>
  <si>
    <t>Plazo restante</t>
  </si>
  <si>
    <t>Para los créditos rotativos no revolventes, registrar en este campo el plazo de acuerdo con el resultado de la validación, de la estructura de Rotativo no revolvente.</t>
  </si>
  <si>
    <t>Plazo restante de la utilizacion</t>
  </si>
  <si>
    <t>CALCODE</t>
  </si>
  <si>
    <t>Base de Liquidación seguro de vida</t>
  </si>
  <si>
    <t>Si en el campo valor de cobro seguro de vida consumo o vivienda, se registra un valor mayor a cero, en este campo debe registrar 4.
Si en el campo porcentaje de cobro seguro de vida, se registra un valor mayor a cero, en este campo debe registrar 1, 2 o 3.
1 - Valor de desembolso
2 - Saldo Insoluto (K+I)
3 - Saldo insoluto (K+I+Gastos*)
4 - Valor fijo
*Gastos: Son los gastos que estan causados al momento de la generaciòn del seguro de vida.
Para los gastos diferentes de vida, enviar default.
Default Ceros</t>
  </si>
  <si>
    <t>Si en el campo VALSEG1-IN, se registra un valor mayor a cero, en este campo debe registrar 4, de lo contrario enviar error:
"BASE DE LIQUIDACION ERRADA"
Si en el campo PORC-SEGC, se registra un valor mayor a cero, en este campo debe registrar 1, 2 o 3.
"BASE DE LIQUIDACION ERRADA"</t>
  </si>
  <si>
    <t>Seguros de vida</t>
  </si>
  <si>
    <t>1 - Valor de desembolso
2 - Saldo Insoluto (K+I)
3 - Saldo insoluto (K+I+Gastos)
4 - Valor fijo</t>
  </si>
  <si>
    <t xml:space="preserve">Gastos: Son los gastos que estan causados al momento de la generaciòn del seguro de vida.
Si en el campo VALSEG1-IN, se registra un valor mayor a cero, en este campo debe registrar 4.
Si en el campo PORC-SEGC, se registra un valor mayor a cero, en este campo debe registrar 1, 2 o 3.
</t>
  </si>
  <si>
    <t>FRECP-SEGDES</t>
  </si>
  <si>
    <t>Frecuencia de pago de seguro voluntario Seguro de desempleo Vivienda y leasing hab.</t>
  </si>
  <si>
    <t>001 Mensual                                         
002 Bimestral
003 Trimestral
004 Cuatrimestral
006 Semestral
012 Anual
Default Ceros</t>
  </si>
  <si>
    <t>Si en el campo CODSEG6-IN se registro FVD, en este campo se debe enviar la frecuencia de pago del seguro.
Solo se permite las opciones aceptadas, de lo contario:
"FRECUENCIA DE PAGO INVALIDA"</t>
  </si>
  <si>
    <t xml:space="preserve">Enviar la frecuencia de cobro para el gasto de seguro de desempleo de vivienda o Leasing hab.
</t>
  </si>
  <si>
    <t>FRECP-SEGDEC</t>
  </si>
  <si>
    <t>Frecuencia de pago de cobro de seguro voluntario Seguro de desempleo consumo.</t>
  </si>
  <si>
    <t>Si en el campo CODSEG7-IN se registro FSA, en este campo se debe enviar la frecuencia de pago del seguro.
Solo se permite las opciones aceptadas, de lo contario:
"FRECUENCIA DE PAGO INVALIDA"</t>
  </si>
  <si>
    <t xml:space="preserve"> Seguro voluntario 2</t>
  </si>
  <si>
    <t xml:space="preserve">Enviar la frecuencia de cobro para el gasto de seguro de desempleo de consumo
</t>
  </si>
  <si>
    <t>CODIGO_LINEA  (TASA FIJA)</t>
  </si>
  <si>
    <t>091
092
093
094
095
096</t>
  </si>
  <si>
    <t>PRODUCTO ALS  (TASA FIJA)</t>
  </si>
  <si>
    <t>BB01</t>
  </si>
  <si>
    <t>BB15</t>
  </si>
  <si>
    <t>BB29</t>
  </si>
  <si>
    <t>B131</t>
  </si>
  <si>
    <t>B083</t>
  </si>
  <si>
    <t>B002</t>
  </si>
  <si>
    <t>HI01</t>
  </si>
  <si>
    <t>HI02</t>
  </si>
  <si>
    <t>HI03</t>
  </si>
  <si>
    <t>HL01</t>
  </si>
  <si>
    <t>L091 - LF.MAQ Y EQU CIAL
L092 - LF.EQU COMPUT CIAL
L093 - LF BIENES INMUEBL
L094 - LF MUEBLES Y ENSERES
LM95 - LF VEHICULOS-CONSUMO
L096 - LF BARCOS,TRENES,AVI</t>
  </si>
  <si>
    <t>CLASE DE CARTERA</t>
  </si>
  <si>
    <t>O</t>
  </si>
  <si>
    <t>H</t>
  </si>
  <si>
    <t>C</t>
  </si>
  <si>
    <t>LM95 - O</t>
  </si>
  <si>
    <t>CODIGO_LINEA  (TASA VARIABLE)</t>
  </si>
  <si>
    <t>005
001</t>
  </si>
  <si>
    <t>PRODUCTO ALS  (TASA VARIABLE)</t>
  </si>
  <si>
    <t>BP05
B007</t>
  </si>
  <si>
    <t>B007</t>
  </si>
  <si>
    <t>L118</t>
  </si>
  <si>
    <t>L095 - LF VEHICULOS COMERCIAL</t>
  </si>
  <si>
    <t>O
C</t>
  </si>
  <si>
    <t xml:space="preserve">O
</t>
  </si>
  <si>
    <t xml:space="preserve"> Código </t>
  </si>
  <si>
    <t xml:space="preserve"> Nombre </t>
  </si>
  <si>
    <t>05001000</t>
  </si>
  <si>
    <t>MEDELLÍN</t>
  </si>
  <si>
    <t>05002000</t>
  </si>
  <si>
    <t>ABEJORRAL</t>
  </si>
  <si>
    <t>05004000</t>
  </si>
  <si>
    <t>ABRIAQUÍ</t>
  </si>
  <si>
    <t>05021000</t>
  </si>
  <si>
    <t>ALEJANDRÍA</t>
  </si>
  <si>
    <t>05030000</t>
  </si>
  <si>
    <t>AMAGÁ</t>
  </si>
  <si>
    <t>05031000</t>
  </si>
  <si>
    <t>AMALFI</t>
  </si>
  <si>
    <t>05034000</t>
  </si>
  <si>
    <t>ANDES</t>
  </si>
  <si>
    <t>05036000</t>
  </si>
  <si>
    <t>ANGELÓPOLIS</t>
  </si>
  <si>
    <t>05038000</t>
  </si>
  <si>
    <t>ANGOSTURA</t>
  </si>
  <si>
    <t>05040000</t>
  </si>
  <si>
    <t>ANORÍ</t>
  </si>
  <si>
    <t>05042000</t>
  </si>
  <si>
    <t>SANTA FÉ DE ANTIOQUIA</t>
  </si>
  <si>
    <t>05044000</t>
  </si>
  <si>
    <t>ANZÁ</t>
  </si>
  <si>
    <t>05045000</t>
  </si>
  <si>
    <t>APARTADÓ</t>
  </si>
  <si>
    <t>05051000</t>
  </si>
  <si>
    <t>ARBOLETES</t>
  </si>
  <si>
    <t>05055000</t>
  </si>
  <si>
    <t>ARGELIA</t>
  </si>
  <si>
    <t>05059000</t>
  </si>
  <si>
    <t>ARMENIA</t>
  </si>
  <si>
    <t>05079000</t>
  </si>
  <si>
    <t>BARBOSA</t>
  </si>
  <si>
    <t>05086000</t>
  </si>
  <si>
    <t>BELMIRA</t>
  </si>
  <si>
    <t>05088000</t>
  </si>
  <si>
    <t>BELLO</t>
  </si>
  <si>
    <t>05091000</t>
  </si>
  <si>
    <t>BETANIA</t>
  </si>
  <si>
    <t>05093000</t>
  </si>
  <si>
    <t>BETULIA</t>
  </si>
  <si>
    <t>05101000</t>
  </si>
  <si>
    <t>CIUDAD BOLÍVAR</t>
  </si>
  <si>
    <t>05107000</t>
  </si>
  <si>
    <t>BRICEÑO</t>
  </si>
  <si>
    <t>05113000</t>
  </si>
  <si>
    <t>BURITICÁ</t>
  </si>
  <si>
    <t>05120000</t>
  </si>
  <si>
    <t>CÁCERES</t>
  </si>
  <si>
    <t>05125000</t>
  </si>
  <si>
    <t>CAICEDO</t>
  </si>
  <si>
    <t>05129000</t>
  </si>
  <si>
    <t>CALDAS</t>
  </si>
  <si>
    <t>05134000</t>
  </si>
  <si>
    <t>CAMPAMENTO</t>
  </si>
  <si>
    <t>05138000</t>
  </si>
  <si>
    <t>CAÑASGORDAS</t>
  </si>
  <si>
    <t>05142000</t>
  </si>
  <si>
    <t>CARACOLÍ</t>
  </si>
  <si>
    <t>05145000</t>
  </si>
  <si>
    <t>CARAMANTA</t>
  </si>
  <si>
    <t>05147000</t>
  </si>
  <si>
    <t>CAREPA</t>
  </si>
  <si>
    <t>05148000</t>
  </si>
  <si>
    <t>EL CARMEN DE VIBORAL</t>
  </si>
  <si>
    <t>05150000</t>
  </si>
  <si>
    <t>CAROLINA</t>
  </si>
  <si>
    <t>05154000</t>
  </si>
  <si>
    <t>CAUCASIA</t>
  </si>
  <si>
    <t>05172000</t>
  </si>
  <si>
    <t>CHIGORODÓ</t>
  </si>
  <si>
    <t>05190000</t>
  </si>
  <si>
    <t>CISNEROS</t>
  </si>
  <si>
    <t>05197000</t>
  </si>
  <si>
    <t>COCORNÁ</t>
  </si>
  <si>
    <t>05206000</t>
  </si>
  <si>
    <t>CONCEPCIÓN</t>
  </si>
  <si>
    <t>05209000</t>
  </si>
  <si>
    <t>CONCORDIA</t>
  </si>
  <si>
    <t>05212000</t>
  </si>
  <si>
    <t>COPACABANA</t>
  </si>
  <si>
    <t>05234000</t>
  </si>
  <si>
    <t>DABEIBA</t>
  </si>
  <si>
    <t>05237000</t>
  </si>
  <si>
    <t>DONMATÍAS</t>
  </si>
  <si>
    <t>05240000</t>
  </si>
  <si>
    <t>EBÉJICO</t>
  </si>
  <si>
    <t>05250000</t>
  </si>
  <si>
    <t>EL BAGRE</t>
  </si>
  <si>
    <t>05264000</t>
  </si>
  <si>
    <t>ENTRERRÍOS</t>
  </si>
  <si>
    <t>05266000</t>
  </si>
  <si>
    <t>ENVIGADO</t>
  </si>
  <si>
    <t>05282000</t>
  </si>
  <si>
    <t>FREDONIA</t>
  </si>
  <si>
    <t>05284000</t>
  </si>
  <si>
    <t>FRONTINO</t>
  </si>
  <si>
    <t>05306000</t>
  </si>
  <si>
    <t>GIRALDO</t>
  </si>
  <si>
    <t>05308000</t>
  </si>
  <si>
    <t>GIRARDOTA</t>
  </si>
  <si>
    <t>05310000</t>
  </si>
  <si>
    <t>GÓMEZ PLATA</t>
  </si>
  <si>
    <t>05313000</t>
  </si>
  <si>
    <t>GRANADA</t>
  </si>
  <si>
    <t>05315000</t>
  </si>
  <si>
    <t>GUADALUPE</t>
  </si>
  <si>
    <t>05318000</t>
  </si>
  <si>
    <t>GUARNE</t>
  </si>
  <si>
    <t>05321000</t>
  </si>
  <si>
    <t>GUATAPÉ</t>
  </si>
  <si>
    <t>05347000</t>
  </si>
  <si>
    <t>HELICONIA</t>
  </si>
  <si>
    <t>05353000</t>
  </si>
  <si>
    <t>HISPANIA</t>
  </si>
  <si>
    <t>05360000</t>
  </si>
  <si>
    <t>ITAGÜÍ</t>
  </si>
  <si>
    <t>05361000</t>
  </si>
  <si>
    <t>ITUANGO</t>
  </si>
  <si>
    <t>05364000</t>
  </si>
  <si>
    <t>JARDÍN</t>
  </si>
  <si>
    <t>05368000</t>
  </si>
  <si>
    <t>JERICÓ</t>
  </si>
  <si>
    <t>05376000</t>
  </si>
  <si>
    <t>LA CEJA</t>
  </si>
  <si>
    <t>05380000</t>
  </si>
  <si>
    <t>LA ESTRELLA</t>
  </si>
  <si>
    <t>05390000</t>
  </si>
  <si>
    <t>LA PINTADA</t>
  </si>
  <si>
    <t>05400000</t>
  </si>
  <si>
    <t>LA UNIÓN</t>
  </si>
  <si>
    <t>05411000</t>
  </si>
  <si>
    <t>LIBORINA</t>
  </si>
  <si>
    <t>05425000</t>
  </si>
  <si>
    <t>MACEO</t>
  </si>
  <si>
    <t>05440000</t>
  </si>
  <si>
    <t>MARINILLA</t>
  </si>
  <si>
    <t>05467000</t>
  </si>
  <si>
    <t>MONTEBELLO</t>
  </si>
  <si>
    <t>05475000</t>
  </si>
  <si>
    <t>MURINDÓ</t>
  </si>
  <si>
    <t>05480000</t>
  </si>
  <si>
    <t>MUTATÁ</t>
  </si>
  <si>
    <t>05483000</t>
  </si>
  <si>
    <t>NARIÑO</t>
  </si>
  <si>
    <t>05490000</t>
  </si>
  <si>
    <t>NECOCLÍ</t>
  </si>
  <si>
    <t>05495000</t>
  </si>
  <si>
    <t>NECHÍ</t>
  </si>
  <si>
    <t>05501000</t>
  </si>
  <si>
    <t>OLAYA</t>
  </si>
  <si>
    <t>05541000</t>
  </si>
  <si>
    <t>PEÑOL</t>
  </si>
  <si>
    <t>05543000</t>
  </si>
  <si>
    <t>PEQUE</t>
  </si>
  <si>
    <t>05576000</t>
  </si>
  <si>
    <t>PUEBLORRICO</t>
  </si>
  <si>
    <t>05579000</t>
  </si>
  <si>
    <t>PUERTO BERRÍO</t>
  </si>
  <si>
    <t>05585000</t>
  </si>
  <si>
    <t>PUERTO NARE</t>
  </si>
  <si>
    <t>05591000</t>
  </si>
  <si>
    <t>PUERTO TRIUNFO</t>
  </si>
  <si>
    <t>05604000</t>
  </si>
  <si>
    <t>REMEDIOS</t>
  </si>
  <si>
    <t>05607000</t>
  </si>
  <si>
    <t>RETIRO</t>
  </si>
  <si>
    <t>05615000</t>
  </si>
  <si>
    <t>RIONEGRO</t>
  </si>
  <si>
    <t>05628000</t>
  </si>
  <si>
    <t>SABANALARGA</t>
  </si>
  <si>
    <t>05631000</t>
  </si>
  <si>
    <t>SABANETA</t>
  </si>
  <si>
    <t>05642000</t>
  </si>
  <si>
    <t>SALGAR</t>
  </si>
  <si>
    <t>05647000</t>
  </si>
  <si>
    <t>SAN ANDRÉS DE CUERQUÍA</t>
  </si>
  <si>
    <t>05649000</t>
  </si>
  <si>
    <t>SAN CARLOS</t>
  </si>
  <si>
    <t>05652000</t>
  </si>
  <si>
    <t>SAN FRANCISCO</t>
  </si>
  <si>
    <t>05656000</t>
  </si>
  <si>
    <t>SAN JERÓNIMO</t>
  </si>
  <si>
    <t>05658000</t>
  </si>
  <si>
    <t>SAN JOSÉ DE LA MONTAÑA</t>
  </si>
  <si>
    <t>05659000</t>
  </si>
  <si>
    <t>SAN JUAN DE URABÁ</t>
  </si>
  <si>
    <t>05660000</t>
  </si>
  <si>
    <t>SAN LUIS</t>
  </si>
  <si>
    <t>05664000</t>
  </si>
  <si>
    <t>SAN PEDRO DE LOS MILAGROS</t>
  </si>
  <si>
    <t>05665000</t>
  </si>
  <si>
    <t>SAN PEDRO DE URABÁ</t>
  </si>
  <si>
    <t>05667000</t>
  </si>
  <si>
    <t>SAN RAFAEL</t>
  </si>
  <si>
    <t>05670000</t>
  </si>
  <si>
    <t>SAN ROQUE</t>
  </si>
  <si>
    <t>05674000</t>
  </si>
  <si>
    <t>SAN VICENTE FERRER</t>
  </si>
  <si>
    <t>05679000</t>
  </si>
  <si>
    <t>SANTA BÁRBARA</t>
  </si>
  <si>
    <t>05686000</t>
  </si>
  <si>
    <t>SANTA ROSA DE OSOS</t>
  </si>
  <si>
    <t>05690000</t>
  </si>
  <si>
    <t>SANTO DOMINGO</t>
  </si>
  <si>
    <t>05697000</t>
  </si>
  <si>
    <t>EL SANTUARIO</t>
  </si>
  <si>
    <t>05736000</t>
  </si>
  <si>
    <t>SEGOVIA</t>
  </si>
  <si>
    <t>05756000</t>
  </si>
  <si>
    <t>SONSÓN</t>
  </si>
  <si>
    <t>05761000</t>
  </si>
  <si>
    <t>SOPETRÁN</t>
  </si>
  <si>
    <t>05789000</t>
  </si>
  <si>
    <t>TÁMESIS</t>
  </si>
  <si>
    <t>05790000</t>
  </si>
  <si>
    <t>TARAZÁ</t>
  </si>
  <si>
    <t>05792000</t>
  </si>
  <si>
    <t>TARSO</t>
  </si>
  <si>
    <t>05809000</t>
  </si>
  <si>
    <t>TITIRIBÍ</t>
  </si>
  <si>
    <t>05819000</t>
  </si>
  <si>
    <t>TOLEDO</t>
  </si>
  <si>
    <t>05837000</t>
  </si>
  <si>
    <t>TURBO</t>
  </si>
  <si>
    <t>05842000</t>
  </si>
  <si>
    <t>URAMITA</t>
  </si>
  <si>
    <t>05847000</t>
  </si>
  <si>
    <t>URRAO</t>
  </si>
  <si>
    <t>05854000</t>
  </si>
  <si>
    <t>VALDIVIA</t>
  </si>
  <si>
    <t>05856000</t>
  </si>
  <si>
    <t>VALPARAÍSO</t>
  </si>
  <si>
    <t>05858000</t>
  </si>
  <si>
    <t>VEGACHÍ</t>
  </si>
  <si>
    <t>05861000</t>
  </si>
  <si>
    <t>VENECIA</t>
  </si>
  <si>
    <t>05873000</t>
  </si>
  <si>
    <t>VIGÍA DEL FUERTE</t>
  </si>
  <si>
    <t>05885000</t>
  </si>
  <si>
    <t>YALÍ</t>
  </si>
  <si>
    <t>05887000</t>
  </si>
  <si>
    <t>YARUMAL</t>
  </si>
  <si>
    <t>05890000</t>
  </si>
  <si>
    <t>YOLOMBÓ</t>
  </si>
  <si>
    <t>05893000</t>
  </si>
  <si>
    <t>YONDÓ</t>
  </si>
  <si>
    <t>05895000</t>
  </si>
  <si>
    <t>ZARAGOZA</t>
  </si>
  <si>
    <t>08001000</t>
  </si>
  <si>
    <t>BARRANQUILLA</t>
  </si>
  <si>
    <t>08078000</t>
  </si>
  <si>
    <t>BARANOA</t>
  </si>
  <si>
    <t>08137000</t>
  </si>
  <si>
    <t>CAMPO DE LA CRUZ</t>
  </si>
  <si>
    <t>08141000</t>
  </si>
  <si>
    <t>CANDELARIA</t>
  </si>
  <si>
    <t>08296000</t>
  </si>
  <si>
    <t>GALAPA</t>
  </si>
  <si>
    <t>08372000</t>
  </si>
  <si>
    <t>JUAN DE ACOSTA</t>
  </si>
  <si>
    <t>08421000</t>
  </si>
  <si>
    <t>LURUACO</t>
  </si>
  <si>
    <t>08433000</t>
  </si>
  <si>
    <t>MALAMBO</t>
  </si>
  <si>
    <t>08436000</t>
  </si>
  <si>
    <t>MANATÍ</t>
  </si>
  <si>
    <t>08520000</t>
  </si>
  <si>
    <t>PALMAR DE VARELA</t>
  </si>
  <si>
    <t>08549000</t>
  </si>
  <si>
    <t>PIOJÓ</t>
  </si>
  <si>
    <t>08558000</t>
  </si>
  <si>
    <t>POLONUEVO</t>
  </si>
  <si>
    <t>08560000</t>
  </si>
  <si>
    <t>PONEDERA</t>
  </si>
  <si>
    <t>08573000</t>
  </si>
  <si>
    <t>PUERTO COLOMBIA</t>
  </si>
  <si>
    <t>08606000</t>
  </si>
  <si>
    <t>REPELÓN</t>
  </si>
  <si>
    <t>08634000</t>
  </si>
  <si>
    <t>SABANAGRANDE</t>
  </si>
  <si>
    <t>08638000</t>
  </si>
  <si>
    <t>08675000</t>
  </si>
  <si>
    <t>SANTA LUCÍA</t>
  </si>
  <si>
    <t>08685000</t>
  </si>
  <si>
    <t>SANTO TOMÁS</t>
  </si>
  <si>
    <t>08758000</t>
  </si>
  <si>
    <t>SOLEDAD</t>
  </si>
  <si>
    <t>08770000</t>
  </si>
  <si>
    <t>SUAN</t>
  </si>
  <si>
    <t>08832000</t>
  </si>
  <si>
    <t>TUBARÁ</t>
  </si>
  <si>
    <t>08849000</t>
  </si>
  <si>
    <t>USIACURÍ</t>
  </si>
  <si>
    <t>11001000</t>
  </si>
  <si>
    <t>BOGOTÁ, D.C.</t>
  </si>
  <si>
    <t>13001000</t>
  </si>
  <si>
    <t>CARTAGENA DE INDIAS</t>
  </si>
  <si>
    <t>13006000</t>
  </si>
  <si>
    <t>ACHÍ</t>
  </si>
  <si>
    <t>13030000</t>
  </si>
  <si>
    <t>ALTOS DEL ROSARIO</t>
  </si>
  <si>
    <t>13042000</t>
  </si>
  <si>
    <t>ARENAL</t>
  </si>
  <si>
    <t>13052000</t>
  </si>
  <si>
    <t>ARJONA</t>
  </si>
  <si>
    <t>13062000</t>
  </si>
  <si>
    <t>ARROYOHONDO</t>
  </si>
  <si>
    <t>13074000</t>
  </si>
  <si>
    <t>BARRANCO DE LOBA</t>
  </si>
  <si>
    <t>13140000</t>
  </si>
  <si>
    <t>CALAMAR</t>
  </si>
  <si>
    <t>13160000</t>
  </si>
  <si>
    <t>CANTAGALLO</t>
  </si>
  <si>
    <t>13188000</t>
  </si>
  <si>
    <t>CICUCO</t>
  </si>
  <si>
    <t>13212000</t>
  </si>
  <si>
    <t>CÓRDOBA</t>
  </si>
  <si>
    <t>13222000</t>
  </si>
  <si>
    <t>CLEMENCIA</t>
  </si>
  <si>
    <t>13244000</t>
  </si>
  <si>
    <t>EL CARMEN DE BOLÍVAR</t>
  </si>
  <si>
    <t>13248000</t>
  </si>
  <si>
    <t>EL GUAMO</t>
  </si>
  <si>
    <t>13268000</t>
  </si>
  <si>
    <t>EL PEÑÓN</t>
  </si>
  <si>
    <t>13300000</t>
  </si>
  <si>
    <t>HATILLO DE LOBA</t>
  </si>
  <si>
    <t>13430000</t>
  </si>
  <si>
    <t>MAGANGUÉ</t>
  </si>
  <si>
    <t>13433000</t>
  </si>
  <si>
    <t>MAHATES</t>
  </si>
  <si>
    <t>13440000</t>
  </si>
  <si>
    <t>MARGARITA</t>
  </si>
  <si>
    <t>13442000</t>
  </si>
  <si>
    <t>MARÍA LA BAJA</t>
  </si>
  <si>
    <t>13458000</t>
  </si>
  <si>
    <t>MONTECRISTO</t>
  </si>
  <si>
    <t>13468000</t>
  </si>
  <si>
    <t>SANTA CRUZ DE MOMPOX</t>
  </si>
  <si>
    <t>13473000</t>
  </si>
  <si>
    <t>MORALES</t>
  </si>
  <si>
    <t>13490000</t>
  </si>
  <si>
    <t>NOROSÍ</t>
  </si>
  <si>
    <t>13549000</t>
  </si>
  <si>
    <t>PINILLOS</t>
  </si>
  <si>
    <t>13580000</t>
  </si>
  <si>
    <t>REGIDOR</t>
  </si>
  <si>
    <t>13600000</t>
  </si>
  <si>
    <t>RÍO VIEJO</t>
  </si>
  <si>
    <t>13620000</t>
  </si>
  <si>
    <t>SAN CRISTÓBAL</t>
  </si>
  <si>
    <t>13647000</t>
  </si>
  <si>
    <t>SAN ESTANISLAO</t>
  </si>
  <si>
    <t>13650000</t>
  </si>
  <si>
    <t>SAN FERNANDO</t>
  </si>
  <si>
    <t>13654000</t>
  </si>
  <si>
    <t>SAN JACINTO</t>
  </si>
  <si>
    <t>13655000</t>
  </si>
  <si>
    <t>SAN JACINTO DEL CAUCA</t>
  </si>
  <si>
    <t>13657000</t>
  </si>
  <si>
    <t>SAN JUAN NEPOMUCENO</t>
  </si>
  <si>
    <t>13667000</t>
  </si>
  <si>
    <t>SAN MARTÍN DE LOBA</t>
  </si>
  <si>
    <t>13670000</t>
  </si>
  <si>
    <t>SAN PABLO</t>
  </si>
  <si>
    <t>13673000</t>
  </si>
  <si>
    <t>SANTA CATALINA</t>
  </si>
  <si>
    <t>13683000</t>
  </si>
  <si>
    <t>SANTA ROSA</t>
  </si>
  <si>
    <t>13688000</t>
  </si>
  <si>
    <t>SANTA ROSA DEL SUR</t>
  </si>
  <si>
    <t>13744000</t>
  </si>
  <si>
    <t>SIMITÍ</t>
  </si>
  <si>
    <t>13760000</t>
  </si>
  <si>
    <t>SOPLAVIENTO</t>
  </si>
  <si>
    <t>13780000</t>
  </si>
  <si>
    <t>TALAIGUA NUEVO</t>
  </si>
  <si>
    <t>13810000</t>
  </si>
  <si>
    <t>TIQUISIO</t>
  </si>
  <si>
    <t>13836000</t>
  </si>
  <si>
    <t>TURBACO</t>
  </si>
  <si>
    <t>13838000</t>
  </si>
  <si>
    <t>TURBANÁ</t>
  </si>
  <si>
    <t>13873000</t>
  </si>
  <si>
    <t>VILLANUEVA</t>
  </si>
  <si>
    <t>13894000</t>
  </si>
  <si>
    <t>ZAMBRANO</t>
  </si>
  <si>
    <t>15001000</t>
  </si>
  <si>
    <t>TUNJA</t>
  </si>
  <si>
    <t>15022000</t>
  </si>
  <si>
    <t>ALMEIDA</t>
  </si>
  <si>
    <t>15047000</t>
  </si>
  <si>
    <t>AQUITANIA</t>
  </si>
  <si>
    <t>15051000</t>
  </si>
  <si>
    <t>ARCABUCO</t>
  </si>
  <si>
    <t>15087000</t>
  </si>
  <si>
    <t>BELÉN</t>
  </si>
  <si>
    <t>15090000</t>
  </si>
  <si>
    <t>BERBEO</t>
  </si>
  <si>
    <t>15092000</t>
  </si>
  <si>
    <t>BETÉITIVA</t>
  </si>
  <si>
    <t>15097000</t>
  </si>
  <si>
    <t>BOAVITA</t>
  </si>
  <si>
    <t>15104000</t>
  </si>
  <si>
    <t>BOYACÁ</t>
  </si>
  <si>
    <t>15106000</t>
  </si>
  <si>
    <t>15109000</t>
  </si>
  <si>
    <t>BUENAVISTA</t>
  </si>
  <si>
    <t>15114000</t>
  </si>
  <si>
    <t>BUSBANZÁ</t>
  </si>
  <si>
    <t>15131000</t>
  </si>
  <si>
    <t>15135000</t>
  </si>
  <si>
    <t>CAMPOHERMOSO</t>
  </si>
  <si>
    <t>15162000</t>
  </si>
  <si>
    <t>CERINZA</t>
  </si>
  <si>
    <t>15172000</t>
  </si>
  <si>
    <t>CHINAVITA</t>
  </si>
  <si>
    <t>15176000</t>
  </si>
  <si>
    <t>CHIQUINQUIRÁ</t>
  </si>
  <si>
    <t>15180000</t>
  </si>
  <si>
    <t>CHISCAS</t>
  </si>
  <si>
    <t>15183000</t>
  </si>
  <si>
    <t>CHITA</t>
  </si>
  <si>
    <t>15185000</t>
  </si>
  <si>
    <t>CHITARAQUE</t>
  </si>
  <si>
    <t>15187000</t>
  </si>
  <si>
    <t>CHIVATÁ</t>
  </si>
  <si>
    <t>15189000</t>
  </si>
  <si>
    <t>CIÉNEGA</t>
  </si>
  <si>
    <t>15204000</t>
  </si>
  <si>
    <t>CÓMBITA</t>
  </si>
  <si>
    <t>15212000</t>
  </si>
  <si>
    <t>COPER</t>
  </si>
  <si>
    <t>15215000</t>
  </si>
  <si>
    <t>CORRALES</t>
  </si>
  <si>
    <t>15218000</t>
  </si>
  <si>
    <t>COVARACHÍA</t>
  </si>
  <si>
    <t>15223000</t>
  </si>
  <si>
    <t>CUBARÁ</t>
  </si>
  <si>
    <t>15224000</t>
  </si>
  <si>
    <t>CUCAITA</t>
  </si>
  <si>
    <t>15226000</t>
  </si>
  <si>
    <t>CUÍTIVA</t>
  </si>
  <si>
    <t>15232000</t>
  </si>
  <si>
    <t>CHÍQUIZA</t>
  </si>
  <si>
    <t>15236000</t>
  </si>
  <si>
    <t>CHIVOR</t>
  </si>
  <si>
    <t>15238000</t>
  </si>
  <si>
    <t>DUITAMA</t>
  </si>
  <si>
    <t>15244000</t>
  </si>
  <si>
    <t>EL COCUY</t>
  </si>
  <si>
    <t>15248000</t>
  </si>
  <si>
    <t>EL ESPINO</t>
  </si>
  <si>
    <t>15272000</t>
  </si>
  <si>
    <t>FIRAVITOBA</t>
  </si>
  <si>
    <t>15276000</t>
  </si>
  <si>
    <t>FLORESTA</t>
  </si>
  <si>
    <t>15293000</t>
  </si>
  <si>
    <t>GACHANTIVÁ</t>
  </si>
  <si>
    <t>15296000</t>
  </si>
  <si>
    <t>GÁMEZA</t>
  </si>
  <si>
    <t>15299000</t>
  </si>
  <si>
    <t>GARAGOA</t>
  </si>
  <si>
    <t>15317000</t>
  </si>
  <si>
    <t>GUACAMAYAS</t>
  </si>
  <si>
    <t>15322000</t>
  </si>
  <si>
    <t>GUATEQUE</t>
  </si>
  <si>
    <t>15325000</t>
  </si>
  <si>
    <t>GUAYATÁ</t>
  </si>
  <si>
    <t>15332000</t>
  </si>
  <si>
    <t>GÜICÁN DE LA SIERRA</t>
  </si>
  <si>
    <t>15362000</t>
  </si>
  <si>
    <t>IZA</t>
  </si>
  <si>
    <t>15367000</t>
  </si>
  <si>
    <t>JENESANO</t>
  </si>
  <si>
    <t>15368000</t>
  </si>
  <si>
    <t>15377000</t>
  </si>
  <si>
    <t>LABRANZAGRANDE</t>
  </si>
  <si>
    <t>15380000</t>
  </si>
  <si>
    <t>LA CAPILLA</t>
  </si>
  <si>
    <t>15401000</t>
  </si>
  <si>
    <t>LA VICTORIA</t>
  </si>
  <si>
    <t>15403000</t>
  </si>
  <si>
    <t>LA UVITA</t>
  </si>
  <si>
    <t>15407000</t>
  </si>
  <si>
    <t>VILLA DE LEYVA</t>
  </si>
  <si>
    <t>15425000</t>
  </si>
  <si>
    <t>MACANAL</t>
  </si>
  <si>
    <t>15442000</t>
  </si>
  <si>
    <t>MARIPÍ</t>
  </si>
  <si>
    <t>15455000</t>
  </si>
  <si>
    <t>MIRAFLORES</t>
  </si>
  <si>
    <t>15464000</t>
  </si>
  <si>
    <t>MONGUA</t>
  </si>
  <si>
    <t>15466000</t>
  </si>
  <si>
    <t>MONGUÍ</t>
  </si>
  <si>
    <t>15469000</t>
  </si>
  <si>
    <t>MONIQUIRÁ</t>
  </si>
  <si>
    <t>15476000</t>
  </si>
  <si>
    <t>MOTAVITA</t>
  </si>
  <si>
    <t>15480000</t>
  </si>
  <si>
    <t>MUZO</t>
  </si>
  <si>
    <t>15491000</t>
  </si>
  <si>
    <t>NOBSA</t>
  </si>
  <si>
    <t>15494000</t>
  </si>
  <si>
    <t>NUEVO COLÓN</t>
  </si>
  <si>
    <t>15500000</t>
  </si>
  <si>
    <t>OICATÁ</t>
  </si>
  <si>
    <t>15507000</t>
  </si>
  <si>
    <t>OTANCHE</t>
  </si>
  <si>
    <t>15511000</t>
  </si>
  <si>
    <t>PACHAVITA</t>
  </si>
  <si>
    <t>15514000</t>
  </si>
  <si>
    <t>PÁEZ</t>
  </si>
  <si>
    <t>15516000</t>
  </si>
  <si>
    <t>PAIPA</t>
  </si>
  <si>
    <t>15518000</t>
  </si>
  <si>
    <t>PAJARITO</t>
  </si>
  <si>
    <t>15522000</t>
  </si>
  <si>
    <t>PANQUEBA</t>
  </si>
  <si>
    <t>15531000</t>
  </si>
  <si>
    <t>PAUNA</t>
  </si>
  <si>
    <t>15533000</t>
  </si>
  <si>
    <t>PAYA</t>
  </si>
  <si>
    <t>15537000</t>
  </si>
  <si>
    <t>PAZ DE RÍO</t>
  </si>
  <si>
    <t>15542000</t>
  </si>
  <si>
    <t>PESCA</t>
  </si>
  <si>
    <t>15550000</t>
  </si>
  <si>
    <t>PISBA</t>
  </si>
  <si>
    <t>15572000</t>
  </si>
  <si>
    <t>PUERTO BOYACÁ</t>
  </si>
  <si>
    <t>15580000</t>
  </si>
  <si>
    <t>QUÍPAMA</t>
  </si>
  <si>
    <t>15599000</t>
  </si>
  <si>
    <t>RAMIRIQUÍ</t>
  </si>
  <si>
    <t>15600000</t>
  </si>
  <si>
    <t>RÁQUIRA</t>
  </si>
  <si>
    <t>15621000</t>
  </si>
  <si>
    <t>RONDÓN</t>
  </si>
  <si>
    <t>15632000</t>
  </si>
  <si>
    <t>SABOYÁ</t>
  </si>
  <si>
    <t>15638000</t>
  </si>
  <si>
    <t>SÁCHICA</t>
  </si>
  <si>
    <t>15646000</t>
  </si>
  <si>
    <t>SAMACÁ</t>
  </si>
  <si>
    <t>15660000</t>
  </si>
  <si>
    <t>SAN EDUARDO</t>
  </si>
  <si>
    <t>15664000</t>
  </si>
  <si>
    <t>SAN JOSÉ DE PARE</t>
  </si>
  <si>
    <t>15667000</t>
  </si>
  <si>
    <t>SAN LUIS DE GACENO</t>
  </si>
  <si>
    <t>15673000</t>
  </si>
  <si>
    <t>SAN MATEO</t>
  </si>
  <si>
    <t>15676000</t>
  </si>
  <si>
    <t>SAN MIGUEL DE SEMA</t>
  </si>
  <si>
    <t>15681000</t>
  </si>
  <si>
    <t>SAN PABLO DE BORBUR</t>
  </si>
  <si>
    <t>15686000</t>
  </si>
  <si>
    <t>SANTANA</t>
  </si>
  <si>
    <t>15690000</t>
  </si>
  <si>
    <t>SANTA MARÍA</t>
  </si>
  <si>
    <t>15693000</t>
  </si>
  <si>
    <t>SANTA ROSA DE VITERBO</t>
  </si>
  <si>
    <t>15696000</t>
  </si>
  <si>
    <t>SANTA SOFÍA</t>
  </si>
  <si>
    <t>15720000</t>
  </si>
  <si>
    <t>SATIVANORTE</t>
  </si>
  <si>
    <t>15723000</t>
  </si>
  <si>
    <t>SATIVASUR</t>
  </si>
  <si>
    <t>15740000</t>
  </si>
  <si>
    <t>SIACHOQUE</t>
  </si>
  <si>
    <t>15753000</t>
  </si>
  <si>
    <t>SOATÁ</t>
  </si>
  <si>
    <t>15755000</t>
  </si>
  <si>
    <t>SOCOTÁ</t>
  </si>
  <si>
    <t>15757000</t>
  </si>
  <si>
    <t>SOCHA</t>
  </si>
  <si>
    <t>15759000</t>
  </si>
  <si>
    <t>SOGAMOSO</t>
  </si>
  <si>
    <t>15761000</t>
  </si>
  <si>
    <t>SOMONDOCO</t>
  </si>
  <si>
    <t>15762000</t>
  </si>
  <si>
    <t>SORA</t>
  </si>
  <si>
    <t>15763000</t>
  </si>
  <si>
    <t>SOTAQUIRÁ</t>
  </si>
  <si>
    <t>15764000</t>
  </si>
  <si>
    <t>SORACÁ</t>
  </si>
  <si>
    <t>15774000</t>
  </si>
  <si>
    <t>SUSACÓN</t>
  </si>
  <si>
    <t>15776000</t>
  </si>
  <si>
    <t>SUTAMARCHÁN</t>
  </si>
  <si>
    <t>15778000</t>
  </si>
  <si>
    <t>SUTATENZA</t>
  </si>
  <si>
    <t>15790000</t>
  </si>
  <si>
    <t>TASCO</t>
  </si>
  <si>
    <t>15798000</t>
  </si>
  <si>
    <t>TENZA</t>
  </si>
  <si>
    <t>15804000</t>
  </si>
  <si>
    <t>TIBANÁ</t>
  </si>
  <si>
    <t>15806000</t>
  </si>
  <si>
    <t>TIBASOSA</t>
  </si>
  <si>
    <t>15808000</t>
  </si>
  <si>
    <t>TINJACÁ</t>
  </si>
  <si>
    <t>15810000</t>
  </si>
  <si>
    <t>TIPACOQUE</t>
  </si>
  <si>
    <t>15814000</t>
  </si>
  <si>
    <t>TOCA</t>
  </si>
  <si>
    <t>15816000</t>
  </si>
  <si>
    <t>TOGÜÍ</t>
  </si>
  <si>
    <t>15820000</t>
  </si>
  <si>
    <t>TÓPAGA</t>
  </si>
  <si>
    <t>15822000</t>
  </si>
  <si>
    <t>TOTA</t>
  </si>
  <si>
    <t>15832000</t>
  </si>
  <si>
    <t>TUNUNGUÁ</t>
  </si>
  <si>
    <t>15835000</t>
  </si>
  <si>
    <t>TURMEQUÉ</t>
  </si>
  <si>
    <t>15837000</t>
  </si>
  <si>
    <t>TUTA</t>
  </si>
  <si>
    <t>15839000</t>
  </si>
  <si>
    <t>TUTAZÁ</t>
  </si>
  <si>
    <t>15842000</t>
  </si>
  <si>
    <t>ÚMBITA</t>
  </si>
  <si>
    <t>15861000</t>
  </si>
  <si>
    <t>VENTAQUEMADA</t>
  </si>
  <si>
    <t>15879000</t>
  </si>
  <si>
    <t>VIRACACHÁ</t>
  </si>
  <si>
    <t>15897000</t>
  </si>
  <si>
    <t>ZETAQUIRA</t>
  </si>
  <si>
    <t>17001000</t>
  </si>
  <si>
    <t>MANIZALES</t>
  </si>
  <si>
    <t>17013000</t>
  </si>
  <si>
    <t>AGUADAS</t>
  </si>
  <si>
    <t>17042000</t>
  </si>
  <si>
    <t>ANSERMA</t>
  </si>
  <si>
    <t>17050000</t>
  </si>
  <si>
    <t>ARANZAZU</t>
  </si>
  <si>
    <t>17088000</t>
  </si>
  <si>
    <t>BELALCÁZAR</t>
  </si>
  <si>
    <t>17174000</t>
  </si>
  <si>
    <t>CHINCHINÁ</t>
  </si>
  <si>
    <t>17272000</t>
  </si>
  <si>
    <t>FILADELFIA</t>
  </si>
  <si>
    <t>17380000</t>
  </si>
  <si>
    <t>LA DORADA</t>
  </si>
  <si>
    <t>17388000</t>
  </si>
  <si>
    <t>LA MERCED</t>
  </si>
  <si>
    <t>17433000</t>
  </si>
  <si>
    <t>MANZANARES</t>
  </si>
  <si>
    <t>17442000</t>
  </si>
  <si>
    <t>MARMATO</t>
  </si>
  <si>
    <t>17444000</t>
  </si>
  <si>
    <t>MARQUETALIA</t>
  </si>
  <si>
    <t>17446000</t>
  </si>
  <si>
    <t>MARULANDA</t>
  </si>
  <si>
    <t>17486000</t>
  </si>
  <si>
    <t>NEIRA</t>
  </si>
  <si>
    <t>17495000</t>
  </si>
  <si>
    <t>NORCASIA</t>
  </si>
  <si>
    <t>17513000</t>
  </si>
  <si>
    <t>PÁCORA</t>
  </si>
  <si>
    <t>17524000</t>
  </si>
  <si>
    <t>PALESTINA</t>
  </si>
  <si>
    <t>17541000</t>
  </si>
  <si>
    <t>PENSILVANIA</t>
  </si>
  <si>
    <t>17614000</t>
  </si>
  <si>
    <t>RIOSUCIO</t>
  </si>
  <si>
    <t>17616000</t>
  </si>
  <si>
    <t>RISARALDA</t>
  </si>
  <si>
    <t>17653000</t>
  </si>
  <si>
    <t>SALAMINA</t>
  </si>
  <si>
    <t>17662000</t>
  </si>
  <si>
    <t>SAMANÁ</t>
  </si>
  <si>
    <t>17665000</t>
  </si>
  <si>
    <t>SAN JOSÉ</t>
  </si>
  <si>
    <t>17777000</t>
  </si>
  <si>
    <t>SUPÍA</t>
  </si>
  <si>
    <t>17867000</t>
  </si>
  <si>
    <t>VICTORIA</t>
  </si>
  <si>
    <t>17873000</t>
  </si>
  <si>
    <t>VILLAMARÍA</t>
  </si>
  <si>
    <t>17877000</t>
  </si>
  <si>
    <t>VITERBO</t>
  </si>
  <si>
    <t>18001000</t>
  </si>
  <si>
    <t>FLORENCIA</t>
  </si>
  <si>
    <t>18029000</t>
  </si>
  <si>
    <t>ALBANIA</t>
  </si>
  <si>
    <t>18094000</t>
  </si>
  <si>
    <t>BELÉN DE LOS ANDAQUÍES</t>
  </si>
  <si>
    <t>18150000</t>
  </si>
  <si>
    <t>CARTAGENA DEL CHAIRÁ</t>
  </si>
  <si>
    <t>18205000</t>
  </si>
  <si>
    <t>CURILLO</t>
  </si>
  <si>
    <t>18247000</t>
  </si>
  <si>
    <t>EL DONCELLO</t>
  </si>
  <si>
    <t>18256000</t>
  </si>
  <si>
    <t>EL PAUJÍL</t>
  </si>
  <si>
    <t>18410000</t>
  </si>
  <si>
    <t>LA MONTAÑITA</t>
  </si>
  <si>
    <t>18460000</t>
  </si>
  <si>
    <t>MILÁN</t>
  </si>
  <si>
    <t>18479000</t>
  </si>
  <si>
    <t>MORELIA</t>
  </si>
  <si>
    <t>18592000</t>
  </si>
  <si>
    <t>PUERTO RICO</t>
  </si>
  <si>
    <t>18610000</t>
  </si>
  <si>
    <t>SAN JOSÉ DEL FRAGUA</t>
  </si>
  <si>
    <t>18753000</t>
  </si>
  <si>
    <t>SAN VICENTE DEL CAGUÁN</t>
  </si>
  <si>
    <t>18756000</t>
  </si>
  <si>
    <t>SOLANO</t>
  </si>
  <si>
    <t>18785000</t>
  </si>
  <si>
    <t>SOLITA</t>
  </si>
  <si>
    <t>18860000</t>
  </si>
  <si>
    <t>19001000</t>
  </si>
  <si>
    <t>POPAYÁN</t>
  </si>
  <si>
    <t>19022000</t>
  </si>
  <si>
    <t>ALMAGUER</t>
  </si>
  <si>
    <t>19050000</t>
  </si>
  <si>
    <t>19075000</t>
  </si>
  <si>
    <t>BALBOA</t>
  </si>
  <si>
    <t>19100000</t>
  </si>
  <si>
    <t>BOLÍVAR</t>
  </si>
  <si>
    <t>19110000</t>
  </si>
  <si>
    <t>BUENOS AIRES</t>
  </si>
  <si>
    <t>19130000</t>
  </si>
  <si>
    <t>CAJIBÍO</t>
  </si>
  <si>
    <t>19137000</t>
  </si>
  <si>
    <t>CALDONO</t>
  </si>
  <si>
    <t>19142000</t>
  </si>
  <si>
    <t>CALOTO</t>
  </si>
  <si>
    <t>19212000</t>
  </si>
  <si>
    <t>CORINTO</t>
  </si>
  <si>
    <t>19256000</t>
  </si>
  <si>
    <t>EL TAMBO</t>
  </si>
  <si>
    <t>19290000</t>
  </si>
  <si>
    <t>19300000</t>
  </si>
  <si>
    <t>GUACHENÉ</t>
  </si>
  <si>
    <t>19318000</t>
  </si>
  <si>
    <t>GUAPI</t>
  </si>
  <si>
    <t>19355000</t>
  </si>
  <si>
    <t>INZÁ</t>
  </si>
  <si>
    <t>19364000</t>
  </si>
  <si>
    <t>JAMBALÓ</t>
  </si>
  <si>
    <t>19392000</t>
  </si>
  <si>
    <t>LA SIERRA</t>
  </si>
  <si>
    <t>19397000</t>
  </si>
  <si>
    <t>LA VEGA</t>
  </si>
  <si>
    <t>19418000</t>
  </si>
  <si>
    <t>LÓPEZ DE MICAY</t>
  </si>
  <si>
    <t>19450000</t>
  </si>
  <si>
    <t>MERCADERES</t>
  </si>
  <si>
    <t>19455000</t>
  </si>
  <si>
    <t>MIRANDA</t>
  </si>
  <si>
    <t>19473000</t>
  </si>
  <si>
    <t>19513000</t>
  </si>
  <si>
    <t>PADILLA</t>
  </si>
  <si>
    <t>19517000</t>
  </si>
  <si>
    <t>19532000</t>
  </si>
  <si>
    <t>PATÍA</t>
  </si>
  <si>
    <t>19533000</t>
  </si>
  <si>
    <t>PIAMONTE</t>
  </si>
  <si>
    <t>19548000</t>
  </si>
  <si>
    <t>PIENDAMÓ - TUNÍA</t>
  </si>
  <si>
    <t>19573000</t>
  </si>
  <si>
    <t>PUERTO TEJADA</t>
  </si>
  <si>
    <t>19585000</t>
  </si>
  <si>
    <t>PURACÉ</t>
  </si>
  <si>
    <t>19622000</t>
  </si>
  <si>
    <t>ROSAS</t>
  </si>
  <si>
    <t>19693000</t>
  </si>
  <si>
    <t>SAN SEBASTIÁN</t>
  </si>
  <si>
    <t>19698000</t>
  </si>
  <si>
    <t>SANTANDER DE QUILICHAO</t>
  </si>
  <si>
    <t>19701000</t>
  </si>
  <si>
    <t>19743000</t>
  </si>
  <si>
    <t>SILVIA</t>
  </si>
  <si>
    <t>19760000</t>
  </si>
  <si>
    <t>SOTARÁ - PAISPAMBA</t>
  </si>
  <si>
    <t>19780000</t>
  </si>
  <si>
    <t>SUÁREZ</t>
  </si>
  <si>
    <t>19785000</t>
  </si>
  <si>
    <t>SUCRE</t>
  </si>
  <si>
    <t>19807000</t>
  </si>
  <si>
    <t>TIMBÍO</t>
  </si>
  <si>
    <t>19809000</t>
  </si>
  <si>
    <t>TIMBIQUÍ</t>
  </si>
  <si>
    <t>19821000</t>
  </si>
  <si>
    <t>TORIBÍO</t>
  </si>
  <si>
    <t>19824000</t>
  </si>
  <si>
    <t>TOTORÓ</t>
  </si>
  <si>
    <t>19845000</t>
  </si>
  <si>
    <t>VILLA RICA</t>
  </si>
  <si>
    <t>20001000</t>
  </si>
  <si>
    <t>VALLEDUPAR</t>
  </si>
  <si>
    <t>20011000</t>
  </si>
  <si>
    <t>AGUACHICA</t>
  </si>
  <si>
    <t>20013000</t>
  </si>
  <si>
    <t>AGUSTÍN CODAZZI</t>
  </si>
  <si>
    <t>20032000</t>
  </si>
  <si>
    <t>ASTREA</t>
  </si>
  <si>
    <t>20045000</t>
  </si>
  <si>
    <t>BECERRIL</t>
  </si>
  <si>
    <t>20060000</t>
  </si>
  <si>
    <t>BOSCONIA</t>
  </si>
  <si>
    <t>20175000</t>
  </si>
  <si>
    <t>CHIMICHAGUA</t>
  </si>
  <si>
    <t>20178000</t>
  </si>
  <si>
    <t>CHIRIGUANÁ</t>
  </si>
  <si>
    <t>20228000</t>
  </si>
  <si>
    <t>CURUMANÍ</t>
  </si>
  <si>
    <t>20238000</t>
  </si>
  <si>
    <t>EL COPEY</t>
  </si>
  <si>
    <t>20250000</t>
  </si>
  <si>
    <t>EL PASO</t>
  </si>
  <si>
    <t>20295000</t>
  </si>
  <si>
    <t>GAMARRA</t>
  </si>
  <si>
    <t>20310000</t>
  </si>
  <si>
    <t>GONZÁLEZ</t>
  </si>
  <si>
    <t>20383000</t>
  </si>
  <si>
    <t>LA GLORIA</t>
  </si>
  <si>
    <t>20400000</t>
  </si>
  <si>
    <t>LA JAGUA DE IBIRICO</t>
  </si>
  <si>
    <t>20443000</t>
  </si>
  <si>
    <t>MANAURE BALCÓN DEL CESAR</t>
  </si>
  <si>
    <t>20517000</t>
  </si>
  <si>
    <t>PAILITAS</t>
  </si>
  <si>
    <t>20550000</t>
  </si>
  <si>
    <t>PELAYA</t>
  </si>
  <si>
    <t>20570000</t>
  </si>
  <si>
    <t>PUEBLO BELLO</t>
  </si>
  <si>
    <t>20614000</t>
  </si>
  <si>
    <t>RÍO DE ORO</t>
  </si>
  <si>
    <t>20621000</t>
  </si>
  <si>
    <t>LA PAZ</t>
  </si>
  <si>
    <t>20710000</t>
  </si>
  <si>
    <t>SAN ALBERTO</t>
  </si>
  <si>
    <t>20750000</t>
  </si>
  <si>
    <t>SAN DIEGO</t>
  </si>
  <si>
    <t>20770000</t>
  </si>
  <si>
    <t>SAN MARTÍN</t>
  </si>
  <si>
    <t>20787000</t>
  </si>
  <si>
    <t>TAMALAMEQUE</t>
  </si>
  <si>
    <t>23001000</t>
  </si>
  <si>
    <t>MONTERÍA</t>
  </si>
  <si>
    <t>23068000</t>
  </si>
  <si>
    <t>AYAPEL</t>
  </si>
  <si>
    <t>23079000</t>
  </si>
  <si>
    <t>23090000</t>
  </si>
  <si>
    <t>CANALETE</t>
  </si>
  <si>
    <t>23162000</t>
  </si>
  <si>
    <t>CERETÉ</t>
  </si>
  <si>
    <t>23168000</t>
  </si>
  <si>
    <t>CHIMÁ</t>
  </si>
  <si>
    <t>23182000</t>
  </si>
  <si>
    <t>CHINÚ</t>
  </si>
  <si>
    <t>23189000</t>
  </si>
  <si>
    <t>CIÉNAGA DE ORO</t>
  </si>
  <si>
    <t>23300000</t>
  </si>
  <si>
    <t>COTORRA</t>
  </si>
  <si>
    <t>23350000</t>
  </si>
  <si>
    <t>LA APARTADA</t>
  </si>
  <si>
    <t>23417000</t>
  </si>
  <si>
    <t>LORICA</t>
  </si>
  <si>
    <t>23419000</t>
  </si>
  <si>
    <t>LOS CÓRDOBAS</t>
  </si>
  <si>
    <t>23464000</t>
  </si>
  <si>
    <t>MOMIL</t>
  </si>
  <si>
    <t>23466000</t>
  </si>
  <si>
    <t>MONTELÍBANO</t>
  </si>
  <si>
    <t>23500000</t>
  </si>
  <si>
    <t>MOÑITOS</t>
  </si>
  <si>
    <t>23555000</t>
  </si>
  <si>
    <t>PLANETA RICA</t>
  </si>
  <si>
    <t>23570000</t>
  </si>
  <si>
    <t>PUEBLO NUEVO</t>
  </si>
  <si>
    <t>23574000</t>
  </si>
  <si>
    <t>PUERTO ESCONDIDO</t>
  </si>
  <si>
    <t>23580000</t>
  </si>
  <si>
    <t>PUERTO LIBERTADOR</t>
  </si>
  <si>
    <t>23586000</t>
  </si>
  <si>
    <t>PURÍSIMA DE LA CONCEPCIÓN</t>
  </si>
  <si>
    <t>23660000</t>
  </si>
  <si>
    <t>SAHAGÚN</t>
  </si>
  <si>
    <t>23670000</t>
  </si>
  <si>
    <t>SAN ANDRÉS DE SOTAVENTO</t>
  </si>
  <si>
    <t>23672000</t>
  </si>
  <si>
    <t>SAN ANTERO</t>
  </si>
  <si>
    <t>23675000</t>
  </si>
  <si>
    <t>SAN BERNARDO DEL VIENTO</t>
  </si>
  <si>
    <t>23678000</t>
  </si>
  <si>
    <t>23682000</t>
  </si>
  <si>
    <t>SAN JOSÉ DE URÉ</t>
  </si>
  <si>
    <t>23686000</t>
  </si>
  <si>
    <t>SAN PELAYO</t>
  </si>
  <si>
    <t>23807000</t>
  </si>
  <si>
    <t>TIERRALTA</t>
  </si>
  <si>
    <t>23815000</t>
  </si>
  <si>
    <t>TUCHÍN</t>
  </si>
  <si>
    <t>23855000</t>
  </si>
  <si>
    <t>VALENCIA</t>
  </si>
  <si>
    <t>25001000</t>
  </si>
  <si>
    <t>AGUA DE DIOS</t>
  </si>
  <si>
    <t>25019000</t>
  </si>
  <si>
    <t>ALBÁN</t>
  </si>
  <si>
    <t>25035000</t>
  </si>
  <si>
    <t>ANAPOIMA</t>
  </si>
  <si>
    <t>25040000</t>
  </si>
  <si>
    <t>ANOLAIMA</t>
  </si>
  <si>
    <t>25053000</t>
  </si>
  <si>
    <t>ARBELÁEZ</t>
  </si>
  <si>
    <t>25086000</t>
  </si>
  <si>
    <t>BELTRÁN</t>
  </si>
  <si>
    <t>25095000</t>
  </si>
  <si>
    <t>BITUIMA</t>
  </si>
  <si>
    <t>25099000</t>
  </si>
  <si>
    <t>BOJACÁ</t>
  </si>
  <si>
    <t>25120000</t>
  </si>
  <si>
    <t>CABRERA</t>
  </si>
  <si>
    <t>25123000</t>
  </si>
  <si>
    <t>CACHIPAY</t>
  </si>
  <si>
    <t>25126000</t>
  </si>
  <si>
    <t>CAJICÁ</t>
  </si>
  <si>
    <t>25148000</t>
  </si>
  <si>
    <t>CAPARRAPÍ</t>
  </si>
  <si>
    <t>25151000</t>
  </si>
  <si>
    <t>CÁQUEZA</t>
  </si>
  <si>
    <t>25154000</t>
  </si>
  <si>
    <t>CARMEN DE CARUPA</t>
  </si>
  <si>
    <t>25168000</t>
  </si>
  <si>
    <t>CHAGUANÍ</t>
  </si>
  <si>
    <t>25175000</t>
  </si>
  <si>
    <t>CHÍA</t>
  </si>
  <si>
    <t>25178000</t>
  </si>
  <si>
    <t>CHIPAQUE</t>
  </si>
  <si>
    <t>25181000</t>
  </si>
  <si>
    <t>CHOACHÍ</t>
  </si>
  <si>
    <t>25183000</t>
  </si>
  <si>
    <t>CHOCONTÁ</t>
  </si>
  <si>
    <t>25200000</t>
  </si>
  <si>
    <t>COGUA</t>
  </si>
  <si>
    <t>25214000</t>
  </si>
  <si>
    <t>COTA</t>
  </si>
  <si>
    <t>25224000</t>
  </si>
  <si>
    <t>CUCUNUBÁ</t>
  </si>
  <si>
    <t>25245000</t>
  </si>
  <si>
    <t>EL COLEGIO</t>
  </si>
  <si>
    <t>25258000</t>
  </si>
  <si>
    <t>25260000</t>
  </si>
  <si>
    <t>EL ROSAL</t>
  </si>
  <si>
    <t>25269000</t>
  </si>
  <si>
    <t>FACATATIVÁ</t>
  </si>
  <si>
    <t>25279000</t>
  </si>
  <si>
    <t>FÓMEQUE</t>
  </si>
  <si>
    <t>25281000</t>
  </si>
  <si>
    <t>FOSCA</t>
  </si>
  <si>
    <t>25286000</t>
  </si>
  <si>
    <t>FUNZA</t>
  </si>
  <si>
    <t>25288000</t>
  </si>
  <si>
    <t>FÚQUENE</t>
  </si>
  <si>
    <t>25290000</t>
  </si>
  <si>
    <t>FUSAGASUGÁ</t>
  </si>
  <si>
    <t>25293000</t>
  </si>
  <si>
    <t>GACHALÁ</t>
  </si>
  <si>
    <t>25295000</t>
  </si>
  <si>
    <t>GACHANCIPÁ</t>
  </si>
  <si>
    <t>25297000</t>
  </si>
  <si>
    <t>GACHETÁ</t>
  </si>
  <si>
    <t>25299000</t>
  </si>
  <si>
    <t>GAMA</t>
  </si>
  <si>
    <t>25307000</t>
  </si>
  <si>
    <t>GIRARDOT</t>
  </si>
  <si>
    <t>25312000</t>
  </si>
  <si>
    <t>25317000</t>
  </si>
  <si>
    <t>GUACHETÁ</t>
  </si>
  <si>
    <t>25320000</t>
  </si>
  <si>
    <t>GUADUAS</t>
  </si>
  <si>
    <t>25322000</t>
  </si>
  <si>
    <t>GUASCA</t>
  </si>
  <si>
    <t>25324000</t>
  </si>
  <si>
    <t>GUATAQUÍ</t>
  </si>
  <si>
    <t>25326000</t>
  </si>
  <si>
    <t>GUATAVITA</t>
  </si>
  <si>
    <t>25328000</t>
  </si>
  <si>
    <t>GUAYABAL DE SÍQUIMA</t>
  </si>
  <si>
    <t>25335000</t>
  </si>
  <si>
    <t>GUAYABETAL</t>
  </si>
  <si>
    <t>25339000</t>
  </si>
  <si>
    <t>GUTIÉRREZ</t>
  </si>
  <si>
    <t>25368000</t>
  </si>
  <si>
    <t>JERUSALÉN</t>
  </si>
  <si>
    <t>25372000</t>
  </si>
  <si>
    <t>JUNÍN</t>
  </si>
  <si>
    <t>25377000</t>
  </si>
  <si>
    <t>LA CALERA</t>
  </si>
  <si>
    <t>25386000</t>
  </si>
  <si>
    <t>LA MESA</t>
  </si>
  <si>
    <t>25394000</t>
  </si>
  <si>
    <t>LA PALMA</t>
  </si>
  <si>
    <t>25398000</t>
  </si>
  <si>
    <t>LA PEÑA</t>
  </si>
  <si>
    <t>25402000</t>
  </si>
  <si>
    <t>25407000</t>
  </si>
  <si>
    <t>LENGUAZAQUE</t>
  </si>
  <si>
    <t>25426000</t>
  </si>
  <si>
    <t>MACHETÁ</t>
  </si>
  <si>
    <t>25430000</t>
  </si>
  <si>
    <t>MADRID</t>
  </si>
  <si>
    <t>25436000</t>
  </si>
  <si>
    <t>MANTA</t>
  </si>
  <si>
    <t>25438000</t>
  </si>
  <si>
    <t>MEDINA</t>
  </si>
  <si>
    <t>25473000</t>
  </si>
  <si>
    <t>MOSQUERA</t>
  </si>
  <si>
    <t>25483000</t>
  </si>
  <si>
    <t>25486000</t>
  </si>
  <si>
    <t>NEMOCÓN</t>
  </si>
  <si>
    <t>25488000</t>
  </si>
  <si>
    <t>NILO</t>
  </si>
  <si>
    <t>25489000</t>
  </si>
  <si>
    <t>NIMAIMA</t>
  </si>
  <si>
    <t>25491000</t>
  </si>
  <si>
    <t>NOCAIMA</t>
  </si>
  <si>
    <t>25506000</t>
  </si>
  <si>
    <t>25513000</t>
  </si>
  <si>
    <t>PACHO</t>
  </si>
  <si>
    <t>25518000</t>
  </si>
  <si>
    <t>PAIME</t>
  </si>
  <si>
    <t>25524000</t>
  </si>
  <si>
    <t>PANDI</t>
  </si>
  <si>
    <t>25530000</t>
  </si>
  <si>
    <t>PARATEBUENO</t>
  </si>
  <si>
    <t>25535000</t>
  </si>
  <si>
    <t>PASCA</t>
  </si>
  <si>
    <t>25572000</t>
  </si>
  <si>
    <t>PUERTO SALGAR</t>
  </si>
  <si>
    <t>25580000</t>
  </si>
  <si>
    <t>PULÍ</t>
  </si>
  <si>
    <t>25592000</t>
  </si>
  <si>
    <t>QUEBRADANEGRA</t>
  </si>
  <si>
    <t>25594000</t>
  </si>
  <si>
    <t>QUETAME</t>
  </si>
  <si>
    <t>25596000</t>
  </si>
  <si>
    <t>QUIPILE</t>
  </si>
  <si>
    <t>25599000</t>
  </si>
  <si>
    <t>APULO</t>
  </si>
  <si>
    <t>25612000</t>
  </si>
  <si>
    <t>RICAURTE</t>
  </si>
  <si>
    <t>25645000</t>
  </si>
  <si>
    <t>SAN ANTONIO DEL TEQUENDAMA</t>
  </si>
  <si>
    <t>25649000</t>
  </si>
  <si>
    <t>SAN BERNARDO</t>
  </si>
  <si>
    <t>25653000</t>
  </si>
  <si>
    <t>SAN CAYETANO</t>
  </si>
  <si>
    <t>25658000</t>
  </si>
  <si>
    <t>25662000</t>
  </si>
  <si>
    <t>SAN JUAN DE RIOSECO</t>
  </si>
  <si>
    <t>25718000</t>
  </si>
  <si>
    <t>SASAIMA</t>
  </si>
  <si>
    <t>25736000</t>
  </si>
  <si>
    <t>SESQUILÉ</t>
  </si>
  <si>
    <t>25740000</t>
  </si>
  <si>
    <t>SIBATÉ</t>
  </si>
  <si>
    <t>25743000</t>
  </si>
  <si>
    <t>SILVANIA</t>
  </si>
  <si>
    <t>25745000</t>
  </si>
  <si>
    <t>SIMIJACA</t>
  </si>
  <si>
    <t>25754000</t>
  </si>
  <si>
    <t>SOACHA</t>
  </si>
  <si>
    <t>25758000</t>
  </si>
  <si>
    <t>SOPÓ</t>
  </si>
  <si>
    <t>25769000</t>
  </si>
  <si>
    <t>SUBACHOQUE</t>
  </si>
  <si>
    <t>25772000</t>
  </si>
  <si>
    <t>SUESCA</t>
  </si>
  <si>
    <t>25777000</t>
  </si>
  <si>
    <t>SUPATÁ</t>
  </si>
  <si>
    <t>25779000</t>
  </si>
  <si>
    <t>SUSA</t>
  </si>
  <si>
    <t>25781000</t>
  </si>
  <si>
    <t>SUTATAUSA</t>
  </si>
  <si>
    <t>25785000</t>
  </si>
  <si>
    <t>TABIO</t>
  </si>
  <si>
    <t>25793000</t>
  </si>
  <si>
    <t>TAUSA</t>
  </si>
  <si>
    <t>25797000</t>
  </si>
  <si>
    <t>TENA</t>
  </si>
  <si>
    <t>25799000</t>
  </si>
  <si>
    <t>TENJO</t>
  </si>
  <si>
    <t>25805000</t>
  </si>
  <si>
    <t>TIBACUY</t>
  </si>
  <si>
    <t>25807000</t>
  </si>
  <si>
    <t>TIBIRITA</t>
  </si>
  <si>
    <t>25815000</t>
  </si>
  <si>
    <t>TOCAIMA</t>
  </si>
  <si>
    <t>25817000</t>
  </si>
  <si>
    <t>TOCANCIPÁ</t>
  </si>
  <si>
    <t>25823000</t>
  </si>
  <si>
    <t>TOPAIPÍ</t>
  </si>
  <si>
    <t>25839000</t>
  </si>
  <si>
    <t>UBALÁ</t>
  </si>
  <si>
    <t>25841000</t>
  </si>
  <si>
    <t>UBAQUE</t>
  </si>
  <si>
    <t>25843000</t>
  </si>
  <si>
    <t>VILLA DE SAN DIEGO DE UBATÉ</t>
  </si>
  <si>
    <t>25845000</t>
  </si>
  <si>
    <t>UNE</t>
  </si>
  <si>
    <t>25851000</t>
  </si>
  <si>
    <t>ÚTICA</t>
  </si>
  <si>
    <t>25862000</t>
  </si>
  <si>
    <t>VERGARA</t>
  </si>
  <si>
    <t>25867000</t>
  </si>
  <si>
    <t>VIANÍ</t>
  </si>
  <si>
    <t>25871000</t>
  </si>
  <si>
    <t>VILLAGÓMEZ</t>
  </si>
  <si>
    <t>25873000</t>
  </si>
  <si>
    <t>VILLAPINZÓN</t>
  </si>
  <si>
    <t>25875000</t>
  </si>
  <si>
    <t>VILLETA</t>
  </si>
  <si>
    <t>25878000</t>
  </si>
  <si>
    <t>VIOTÁ</t>
  </si>
  <si>
    <t>25885000</t>
  </si>
  <si>
    <t>YACOPÍ</t>
  </si>
  <si>
    <t>25898000</t>
  </si>
  <si>
    <t>ZIPACÓN</t>
  </si>
  <si>
    <t>25899000</t>
  </si>
  <si>
    <t>ZIPAQUIRÁ</t>
  </si>
  <si>
    <t>27001000</t>
  </si>
  <si>
    <t>QUIBDÓ</t>
  </si>
  <si>
    <t>27006000</t>
  </si>
  <si>
    <t>ACANDÍ</t>
  </si>
  <si>
    <t>27025000</t>
  </si>
  <si>
    <t>ALTO BAUDÓ</t>
  </si>
  <si>
    <t>27050000</t>
  </si>
  <si>
    <t>ATRATO</t>
  </si>
  <si>
    <t>27073000</t>
  </si>
  <si>
    <t>BAGADÓ</t>
  </si>
  <si>
    <t>27075000</t>
  </si>
  <si>
    <t>BAHÍA SOLANO</t>
  </si>
  <si>
    <t>27077000</t>
  </si>
  <si>
    <t>BAJO BAUDÓ</t>
  </si>
  <si>
    <t>27099000</t>
  </si>
  <si>
    <t>BOJAYÁ</t>
  </si>
  <si>
    <t>27135000</t>
  </si>
  <si>
    <t>EL CANTÓN DEL SAN PABLO</t>
  </si>
  <si>
    <t>27150000</t>
  </si>
  <si>
    <t>CARMEN DEL DARIÉN</t>
  </si>
  <si>
    <t>27160000</t>
  </si>
  <si>
    <t>CÉRTEGUI</t>
  </si>
  <si>
    <t>27205000</t>
  </si>
  <si>
    <t>CONDOTO</t>
  </si>
  <si>
    <t>27245000</t>
  </si>
  <si>
    <t>EL CARMEN DE ATRATO</t>
  </si>
  <si>
    <t>27250000</t>
  </si>
  <si>
    <t>EL LITORAL DEL SAN JUAN</t>
  </si>
  <si>
    <t>27361000</t>
  </si>
  <si>
    <t>ISTMINA</t>
  </si>
  <si>
    <t>27372000</t>
  </si>
  <si>
    <t>JURADÓ</t>
  </si>
  <si>
    <t>27413000</t>
  </si>
  <si>
    <t>LLORÓ</t>
  </si>
  <si>
    <t>27425000</t>
  </si>
  <si>
    <t>MEDIO ATRATO</t>
  </si>
  <si>
    <t>27430000</t>
  </si>
  <si>
    <t>MEDIO BAUDÓ</t>
  </si>
  <si>
    <t>27450000</t>
  </si>
  <si>
    <t>MEDIO SAN JUAN</t>
  </si>
  <si>
    <t>27491000</t>
  </si>
  <si>
    <t>NÓVITA</t>
  </si>
  <si>
    <t>27493000</t>
  </si>
  <si>
    <t>NUEVO BELÉN DE BAJIRÁ</t>
  </si>
  <si>
    <t>27495000</t>
  </si>
  <si>
    <t>NUQUÍ</t>
  </si>
  <si>
    <t>27580000</t>
  </si>
  <si>
    <t>RÍO IRÓ</t>
  </si>
  <si>
    <t>27600000</t>
  </si>
  <si>
    <t>RÍO QUITO</t>
  </si>
  <si>
    <t>27615000</t>
  </si>
  <si>
    <t>27660000</t>
  </si>
  <si>
    <t>SAN JOSÉ DEL PALMAR</t>
  </si>
  <si>
    <t>27745000</t>
  </si>
  <si>
    <t>SIPÍ</t>
  </si>
  <si>
    <t>27787000</t>
  </si>
  <si>
    <t>TADÓ</t>
  </si>
  <si>
    <t>27800000</t>
  </si>
  <si>
    <t>UNGUÍA</t>
  </si>
  <si>
    <t>27810000</t>
  </si>
  <si>
    <t>UNIÓN PANAMERICANA</t>
  </si>
  <si>
    <t>41001000</t>
  </si>
  <si>
    <t>NEIVA</t>
  </si>
  <si>
    <t>41006000</t>
  </si>
  <si>
    <t>ACEVEDO</t>
  </si>
  <si>
    <t>41013000</t>
  </si>
  <si>
    <t>AGRADO</t>
  </si>
  <si>
    <t>41016000</t>
  </si>
  <si>
    <t>AIPE</t>
  </si>
  <si>
    <t>41020000</t>
  </si>
  <si>
    <t>ALGECIRAS</t>
  </si>
  <si>
    <t>41026000</t>
  </si>
  <si>
    <t>ALTAMIRA</t>
  </si>
  <si>
    <t>41078000</t>
  </si>
  <si>
    <t>BARAYA</t>
  </si>
  <si>
    <t>41132000</t>
  </si>
  <si>
    <t>CAMPOALEGRE</t>
  </si>
  <si>
    <t>41206000</t>
  </si>
  <si>
    <t>COLOMBIA</t>
  </si>
  <si>
    <t>41244000</t>
  </si>
  <si>
    <t>ELÍAS</t>
  </si>
  <si>
    <t>41298000</t>
  </si>
  <si>
    <t>GARZÓN</t>
  </si>
  <si>
    <t>41306000</t>
  </si>
  <si>
    <t>GIGANTE</t>
  </si>
  <si>
    <t>41319000</t>
  </si>
  <si>
    <t>41349000</t>
  </si>
  <si>
    <t>HOBO</t>
  </si>
  <si>
    <t>41357000</t>
  </si>
  <si>
    <t>ÍQUIRA</t>
  </si>
  <si>
    <t>41359000</t>
  </si>
  <si>
    <t>ISNOS</t>
  </si>
  <si>
    <t>41378000</t>
  </si>
  <si>
    <t>LA ARGENTINA</t>
  </si>
  <si>
    <t>41396000</t>
  </si>
  <si>
    <t>LA PLATA</t>
  </si>
  <si>
    <t>41483000</t>
  </si>
  <si>
    <t>NÁTAGA</t>
  </si>
  <si>
    <t>41503000</t>
  </si>
  <si>
    <t>OPORAPA</t>
  </si>
  <si>
    <t>41518000</t>
  </si>
  <si>
    <t>PAICOL</t>
  </si>
  <si>
    <t>41524000</t>
  </si>
  <si>
    <t>PALERMO</t>
  </si>
  <si>
    <t>41530000</t>
  </si>
  <si>
    <t>41548000</t>
  </si>
  <si>
    <t>PITAL</t>
  </si>
  <si>
    <t>41551000</t>
  </si>
  <si>
    <t>PITALITO</t>
  </si>
  <si>
    <t>41615000</t>
  </si>
  <si>
    <t>RIVERA</t>
  </si>
  <si>
    <t>41660000</t>
  </si>
  <si>
    <t>SALADOBLANCO</t>
  </si>
  <si>
    <t>41668000</t>
  </si>
  <si>
    <t>SAN AGUSTÍN</t>
  </si>
  <si>
    <t>41676000</t>
  </si>
  <si>
    <t>41770000</t>
  </si>
  <si>
    <t>SUAZA</t>
  </si>
  <si>
    <t>41791000</t>
  </si>
  <si>
    <t>TARQUI</t>
  </si>
  <si>
    <t>41797000</t>
  </si>
  <si>
    <t>TESALIA</t>
  </si>
  <si>
    <t>41799000</t>
  </si>
  <si>
    <t>TELLO</t>
  </si>
  <si>
    <t>41801000</t>
  </si>
  <si>
    <t>TERUEL</t>
  </si>
  <si>
    <t>41807000</t>
  </si>
  <si>
    <t>TIMANÁ</t>
  </si>
  <si>
    <t>41872000</t>
  </si>
  <si>
    <t>VILLAVIEJA</t>
  </si>
  <si>
    <t>41885000</t>
  </si>
  <si>
    <t>YAGUARÁ</t>
  </si>
  <si>
    <t>44001000</t>
  </si>
  <si>
    <t>RIOHACHA</t>
  </si>
  <si>
    <t>44035000</t>
  </si>
  <si>
    <t>44078000</t>
  </si>
  <si>
    <t>BARRANCAS</t>
  </si>
  <si>
    <t>44090000</t>
  </si>
  <si>
    <t>DIBULLA</t>
  </si>
  <si>
    <t>44098000</t>
  </si>
  <si>
    <t>DISTRACCIÓN</t>
  </si>
  <si>
    <t>44110000</t>
  </si>
  <si>
    <t>EL MOLINO</t>
  </si>
  <si>
    <t>44279000</t>
  </si>
  <si>
    <t>FONSECA</t>
  </si>
  <si>
    <t>44378000</t>
  </si>
  <si>
    <t>HATONUEVO</t>
  </si>
  <si>
    <t>44420000</t>
  </si>
  <si>
    <t>LA JAGUA DEL PILAR</t>
  </si>
  <si>
    <t>44430000</t>
  </si>
  <si>
    <t>MAICAO</t>
  </si>
  <si>
    <t>44560000</t>
  </si>
  <si>
    <t>MANAURE</t>
  </si>
  <si>
    <t>44650000</t>
  </si>
  <si>
    <t>SAN JUAN DEL CESAR</t>
  </si>
  <si>
    <t>44847000</t>
  </si>
  <si>
    <t>URIBIA</t>
  </si>
  <si>
    <t>44855000</t>
  </si>
  <si>
    <t>URUMITA</t>
  </si>
  <si>
    <t>44874000</t>
  </si>
  <si>
    <t>47001000</t>
  </si>
  <si>
    <t>SANTA MARTA</t>
  </si>
  <si>
    <t>47030000</t>
  </si>
  <si>
    <t>ALGARROBO</t>
  </si>
  <si>
    <t>47053000</t>
  </si>
  <si>
    <t>ARACATACA</t>
  </si>
  <si>
    <t>47058000</t>
  </si>
  <si>
    <t>ARIGUANÍ</t>
  </si>
  <si>
    <t>47161000</t>
  </si>
  <si>
    <t>CERRO DE SAN ANTONIO</t>
  </si>
  <si>
    <t>47170000</t>
  </si>
  <si>
    <t>CHIVOLO</t>
  </si>
  <si>
    <t>47189000</t>
  </si>
  <si>
    <t>CIÉNAGA</t>
  </si>
  <si>
    <t>47205000</t>
  </si>
  <si>
    <t>47245000</t>
  </si>
  <si>
    <t>EL BANCO</t>
  </si>
  <si>
    <t>47258000</t>
  </si>
  <si>
    <t>EL PIÑÓN</t>
  </si>
  <si>
    <t>47268000</t>
  </si>
  <si>
    <t>EL RETÉN</t>
  </si>
  <si>
    <t>47288000</t>
  </si>
  <si>
    <t>FUNDACIÓN</t>
  </si>
  <si>
    <t>47318000</t>
  </si>
  <si>
    <t>GUAMAL</t>
  </si>
  <si>
    <t>47460000</t>
  </si>
  <si>
    <t>NUEVA GRANADA</t>
  </si>
  <si>
    <t>47541000</t>
  </si>
  <si>
    <t>PEDRAZA</t>
  </si>
  <si>
    <t>47545000</t>
  </si>
  <si>
    <t>PIJIÑO DEL CARMEN</t>
  </si>
  <si>
    <t>47551000</t>
  </si>
  <si>
    <t>PIVIJAY</t>
  </si>
  <si>
    <t>47555000</t>
  </si>
  <si>
    <t>PLATO</t>
  </si>
  <si>
    <t>47570000</t>
  </si>
  <si>
    <t>PUEBLOVIEJO</t>
  </si>
  <si>
    <t>47605000</t>
  </si>
  <si>
    <t>REMOLINO</t>
  </si>
  <si>
    <t>47660000</t>
  </si>
  <si>
    <t>SABANAS DE SAN ÁNGEL</t>
  </si>
  <si>
    <t>47675000</t>
  </si>
  <si>
    <t>47692000</t>
  </si>
  <si>
    <t>SAN SEBASTIÁN DE BUENAVISTA</t>
  </si>
  <si>
    <t>47703000</t>
  </si>
  <si>
    <t>SAN ZENÓN</t>
  </si>
  <si>
    <t>47707000</t>
  </si>
  <si>
    <t>SANTA ANA</t>
  </si>
  <si>
    <t>47720000</t>
  </si>
  <si>
    <t>SANTA BÁRBARA DE PINTO</t>
  </si>
  <si>
    <t>47745000</t>
  </si>
  <si>
    <t>SITIONUEVO</t>
  </si>
  <si>
    <t>47798000</t>
  </si>
  <si>
    <t>TENERIFE</t>
  </si>
  <si>
    <t>47960000</t>
  </si>
  <si>
    <t>ZAPAYÁN</t>
  </si>
  <si>
    <t>47980000</t>
  </si>
  <si>
    <t>ZONA BANANERA</t>
  </si>
  <si>
    <t>50001000</t>
  </si>
  <si>
    <t>VILLAVICENCIO</t>
  </si>
  <si>
    <t>50006000</t>
  </si>
  <si>
    <t>ACACÍAS</t>
  </si>
  <si>
    <t>50110000</t>
  </si>
  <si>
    <t>BARRANCA DE UPÍA</t>
  </si>
  <si>
    <t>50124000</t>
  </si>
  <si>
    <t>CABUYARO</t>
  </si>
  <si>
    <t>50150000</t>
  </si>
  <si>
    <t>CASTILLA LA NUEVA</t>
  </si>
  <si>
    <t>50223000</t>
  </si>
  <si>
    <t>CUBARRAL</t>
  </si>
  <si>
    <t>50226000</t>
  </si>
  <si>
    <t>CUMARAL</t>
  </si>
  <si>
    <t>50245000</t>
  </si>
  <si>
    <t>EL CALVARIO</t>
  </si>
  <si>
    <t>50251000</t>
  </si>
  <si>
    <t>EL CASTILLO</t>
  </si>
  <si>
    <t>50270000</t>
  </si>
  <si>
    <t>EL DORADO</t>
  </si>
  <si>
    <t>50287000</t>
  </si>
  <si>
    <t>FUENTE DE ORO</t>
  </si>
  <si>
    <t>50313000</t>
  </si>
  <si>
    <t>50318000</t>
  </si>
  <si>
    <t>50325000</t>
  </si>
  <si>
    <t>MAPIRIPÁN</t>
  </si>
  <si>
    <t>50330000</t>
  </si>
  <si>
    <t>MESETAS</t>
  </si>
  <si>
    <t>50350000</t>
  </si>
  <si>
    <t>LA MACARENA</t>
  </si>
  <si>
    <t>50370000</t>
  </si>
  <si>
    <t>URIBE</t>
  </si>
  <si>
    <t>50400000</t>
  </si>
  <si>
    <t>LEJANÍAS</t>
  </si>
  <si>
    <t>50450000</t>
  </si>
  <si>
    <t>PUERTO CONCORDIA</t>
  </si>
  <si>
    <t>50568000</t>
  </si>
  <si>
    <t>PUERTO GAITÁN</t>
  </si>
  <si>
    <t>50573000</t>
  </si>
  <si>
    <t>PUERTO LÓPEZ</t>
  </si>
  <si>
    <t>50577000</t>
  </si>
  <si>
    <t>PUERTO LLERAS</t>
  </si>
  <si>
    <t>50590000</t>
  </si>
  <si>
    <t>50606000</t>
  </si>
  <si>
    <t>RESTREPO</t>
  </si>
  <si>
    <t>50680000</t>
  </si>
  <si>
    <t>SAN CARLOS DE GUAROA</t>
  </si>
  <si>
    <t>50683000</t>
  </si>
  <si>
    <t>SAN JUAN DE ARAMA</t>
  </si>
  <si>
    <t>50686000</t>
  </si>
  <si>
    <t>SAN JUANITO</t>
  </si>
  <si>
    <t>50689000</t>
  </si>
  <si>
    <t>50711000</t>
  </si>
  <si>
    <t>VISTAHERMOSA</t>
  </si>
  <si>
    <t>52001000</t>
  </si>
  <si>
    <t>PASTO</t>
  </si>
  <si>
    <t>52019000</t>
  </si>
  <si>
    <t>52022000</t>
  </si>
  <si>
    <t>ALDANA</t>
  </si>
  <si>
    <t>52036000</t>
  </si>
  <si>
    <t>ANCUYA</t>
  </si>
  <si>
    <t>52051000</t>
  </si>
  <si>
    <t>ARBOLEDA</t>
  </si>
  <si>
    <t>52079000</t>
  </si>
  <si>
    <t>BARBACOAS</t>
  </si>
  <si>
    <t>52083000</t>
  </si>
  <si>
    <t>52110000</t>
  </si>
  <si>
    <t>BUESACO</t>
  </si>
  <si>
    <t>52203000</t>
  </si>
  <si>
    <t>COLÓN</t>
  </si>
  <si>
    <t>52207000</t>
  </si>
  <si>
    <t>CONSACÁ</t>
  </si>
  <si>
    <t>52210000</t>
  </si>
  <si>
    <t>CONTADERO</t>
  </si>
  <si>
    <t>52215000</t>
  </si>
  <si>
    <t>52224000</t>
  </si>
  <si>
    <t>CUASPUD CARLOSAMA</t>
  </si>
  <si>
    <t>52227000</t>
  </si>
  <si>
    <t>CUMBAL</t>
  </si>
  <si>
    <t>52233000</t>
  </si>
  <si>
    <t>CUMBITARA</t>
  </si>
  <si>
    <t>52240000</t>
  </si>
  <si>
    <t>CHACHAGÜÍ</t>
  </si>
  <si>
    <t>52250000</t>
  </si>
  <si>
    <t>EL CHARCO</t>
  </si>
  <si>
    <t>52254000</t>
  </si>
  <si>
    <t>EL PEÑOL</t>
  </si>
  <si>
    <t>52256000</t>
  </si>
  <si>
    <t>EL ROSARIO</t>
  </si>
  <si>
    <t>52258000</t>
  </si>
  <si>
    <t>EL TABLÓN DE GÓMEZ</t>
  </si>
  <si>
    <t>52260000</t>
  </si>
  <si>
    <t>52287000</t>
  </si>
  <si>
    <t>FUNES</t>
  </si>
  <si>
    <t>52317000</t>
  </si>
  <si>
    <t>GUACHUCAL</t>
  </si>
  <si>
    <t>52320000</t>
  </si>
  <si>
    <t>GUAITARILLA</t>
  </si>
  <si>
    <t>52323000</t>
  </si>
  <si>
    <t>GUALMATÁN</t>
  </si>
  <si>
    <t>52352000</t>
  </si>
  <si>
    <t>ILES</t>
  </si>
  <si>
    <t>52354000</t>
  </si>
  <si>
    <t>IMUÉS</t>
  </si>
  <si>
    <t>52356000</t>
  </si>
  <si>
    <t>IPIALES</t>
  </si>
  <si>
    <t>52378000</t>
  </si>
  <si>
    <t>LA CRUZ</t>
  </si>
  <si>
    <t>52381000</t>
  </si>
  <si>
    <t>LA FLORIDA</t>
  </si>
  <si>
    <t>52385000</t>
  </si>
  <si>
    <t>LA LLANADA</t>
  </si>
  <si>
    <t>52390000</t>
  </si>
  <si>
    <t>LA TOLA</t>
  </si>
  <si>
    <t>52399000</t>
  </si>
  <si>
    <t>52405000</t>
  </si>
  <si>
    <t>LEIVA</t>
  </si>
  <si>
    <t>52411000</t>
  </si>
  <si>
    <t>LINARES</t>
  </si>
  <si>
    <t>52418000</t>
  </si>
  <si>
    <t>LOS ANDES</t>
  </si>
  <si>
    <t>52427000</t>
  </si>
  <si>
    <t>MAGÜÍ</t>
  </si>
  <si>
    <t>52435000</t>
  </si>
  <si>
    <t>MALLAMA</t>
  </si>
  <si>
    <t>52473000</t>
  </si>
  <si>
    <t>52480000</t>
  </si>
  <si>
    <t>52490000</t>
  </si>
  <si>
    <t>OLAYA HERRERA</t>
  </si>
  <si>
    <t>52506000</t>
  </si>
  <si>
    <t>OSPINA</t>
  </si>
  <si>
    <t>52520000</t>
  </si>
  <si>
    <t>FRANCISCO PIZARRO</t>
  </si>
  <si>
    <t>52540000</t>
  </si>
  <si>
    <t>POLICARPA</t>
  </si>
  <si>
    <t>52560000</t>
  </si>
  <si>
    <t>POTOSÍ</t>
  </si>
  <si>
    <t>52565000</t>
  </si>
  <si>
    <t>PROVIDENCIA</t>
  </si>
  <si>
    <t>52573000</t>
  </si>
  <si>
    <t>PUERRES</t>
  </si>
  <si>
    <t>52585000</t>
  </si>
  <si>
    <t>PUPIALES</t>
  </si>
  <si>
    <t>52612000</t>
  </si>
  <si>
    <t>52621000</t>
  </si>
  <si>
    <t>ROBERTO PAYÁN</t>
  </si>
  <si>
    <t>52678000</t>
  </si>
  <si>
    <t>SAMANIEGO</t>
  </si>
  <si>
    <t>52683000</t>
  </si>
  <si>
    <t>SANDONÁ</t>
  </si>
  <si>
    <t>52685000</t>
  </si>
  <si>
    <t>52687000</t>
  </si>
  <si>
    <t>SAN LORENZO</t>
  </si>
  <si>
    <t>52693000</t>
  </si>
  <si>
    <t>52694000</t>
  </si>
  <si>
    <t>SAN PEDRO DE CARTAGO</t>
  </si>
  <si>
    <t>52696000</t>
  </si>
  <si>
    <t>52699000</t>
  </si>
  <si>
    <t>SANTACRUZ</t>
  </si>
  <si>
    <t>52720000</t>
  </si>
  <si>
    <t>SAPUYES</t>
  </si>
  <si>
    <t>52786000</t>
  </si>
  <si>
    <t>TAMINANGO</t>
  </si>
  <si>
    <t>52788000</t>
  </si>
  <si>
    <t>TANGUA</t>
  </si>
  <si>
    <t>52835000</t>
  </si>
  <si>
    <t>SAN ANDRÉS DE TUMACO</t>
  </si>
  <si>
    <t>52838000</t>
  </si>
  <si>
    <t>TÚQUERRES</t>
  </si>
  <si>
    <t>52885000</t>
  </si>
  <si>
    <t>YACUANQUER</t>
  </si>
  <si>
    <t>54001000</t>
  </si>
  <si>
    <t>SAN JOSÉ DE CÚCUTA</t>
  </si>
  <si>
    <t>54003000</t>
  </si>
  <si>
    <t>ÁBREGO</t>
  </si>
  <si>
    <t>54051000</t>
  </si>
  <si>
    <t>ARBOLEDAS</t>
  </si>
  <si>
    <t>54099000</t>
  </si>
  <si>
    <t>BOCHALEMA</t>
  </si>
  <si>
    <t>54109000</t>
  </si>
  <si>
    <t>BUCARASICA</t>
  </si>
  <si>
    <t>54125000</t>
  </si>
  <si>
    <t>CÁCOTA</t>
  </si>
  <si>
    <t>54128000</t>
  </si>
  <si>
    <t>CÁCHIRA</t>
  </si>
  <si>
    <t>54172000</t>
  </si>
  <si>
    <t>CHINÁCOTA</t>
  </si>
  <si>
    <t>54174000</t>
  </si>
  <si>
    <t>CHITAGÁ</t>
  </si>
  <si>
    <t>54206000</t>
  </si>
  <si>
    <t>CONVENCIÓN</t>
  </si>
  <si>
    <t>54223000</t>
  </si>
  <si>
    <t>CUCUTILLA</t>
  </si>
  <si>
    <t>54239000</t>
  </si>
  <si>
    <t>DURANIA</t>
  </si>
  <si>
    <t>54245000</t>
  </si>
  <si>
    <t>EL CARMEN</t>
  </si>
  <si>
    <t>54250000</t>
  </si>
  <si>
    <t>EL TARRA</t>
  </si>
  <si>
    <t>54261000</t>
  </si>
  <si>
    <t>EL ZULIA</t>
  </si>
  <si>
    <t>54313000</t>
  </si>
  <si>
    <t>GRAMALOTE</t>
  </si>
  <si>
    <t>54344000</t>
  </si>
  <si>
    <t>HACARÍ</t>
  </si>
  <si>
    <t>54347000</t>
  </si>
  <si>
    <t>HERRÁN</t>
  </si>
  <si>
    <t>54377000</t>
  </si>
  <si>
    <t>LABATECA</t>
  </si>
  <si>
    <t>54385000</t>
  </si>
  <si>
    <t>LA ESPERANZA</t>
  </si>
  <si>
    <t>54398000</t>
  </si>
  <si>
    <t>LA PLAYA</t>
  </si>
  <si>
    <t>54405000</t>
  </si>
  <si>
    <t>LOS PATIOS</t>
  </si>
  <si>
    <t>54418000</t>
  </si>
  <si>
    <t>LOURDES</t>
  </si>
  <si>
    <t>54480000</t>
  </si>
  <si>
    <t>MUTISCUA</t>
  </si>
  <si>
    <t>54498000</t>
  </si>
  <si>
    <t>OCAÑA</t>
  </si>
  <si>
    <t>54518000</t>
  </si>
  <si>
    <t>PAMPLONA</t>
  </si>
  <si>
    <t>54520000</t>
  </si>
  <si>
    <t>PAMPLONITA</t>
  </si>
  <si>
    <t>54553000</t>
  </si>
  <si>
    <t>PUERTO SANTANDER</t>
  </si>
  <si>
    <t>54599000</t>
  </si>
  <si>
    <t>RAGONVALIA</t>
  </si>
  <si>
    <t>54660000</t>
  </si>
  <si>
    <t>SALAZAR</t>
  </si>
  <si>
    <t>54670000</t>
  </si>
  <si>
    <t>SAN CALIXTO</t>
  </si>
  <si>
    <t>54673000</t>
  </si>
  <si>
    <t>54680000</t>
  </si>
  <si>
    <t>SANTIAGO</t>
  </si>
  <si>
    <t>54720000</t>
  </si>
  <si>
    <t>SARDINATA</t>
  </si>
  <si>
    <t>54743000</t>
  </si>
  <si>
    <t>SILOS</t>
  </si>
  <si>
    <t>54800000</t>
  </si>
  <si>
    <t>TEORAMA</t>
  </si>
  <si>
    <t>54810000</t>
  </si>
  <si>
    <t>TIBÚ</t>
  </si>
  <si>
    <t>54820000</t>
  </si>
  <si>
    <t>54871000</t>
  </si>
  <si>
    <t>VILLA CARO</t>
  </si>
  <si>
    <t>54874000</t>
  </si>
  <si>
    <t>VILLA DEL ROSARIO</t>
  </si>
  <si>
    <t>63001000</t>
  </si>
  <si>
    <t>63111000</t>
  </si>
  <si>
    <t>63130000</t>
  </si>
  <si>
    <t>CALARCÁ</t>
  </si>
  <si>
    <t>63190000</t>
  </si>
  <si>
    <t>CIRCASIA</t>
  </si>
  <si>
    <t>63212000</t>
  </si>
  <si>
    <t>63272000</t>
  </si>
  <si>
    <t>FILANDIA</t>
  </si>
  <si>
    <t>63302000</t>
  </si>
  <si>
    <t>GÉNOVA</t>
  </si>
  <si>
    <t>63401000</t>
  </si>
  <si>
    <t>LA TEBAIDA</t>
  </si>
  <si>
    <t>63470000</t>
  </si>
  <si>
    <t>MONTENEGRO</t>
  </si>
  <si>
    <t>63548000</t>
  </si>
  <si>
    <t>PIJAO</t>
  </si>
  <si>
    <t>63594000</t>
  </si>
  <si>
    <t>QUIMBAYA</t>
  </si>
  <si>
    <t>63690000</t>
  </si>
  <si>
    <t>SALENTO</t>
  </si>
  <si>
    <t>66001000</t>
  </si>
  <si>
    <t>PEREIRA</t>
  </si>
  <si>
    <t>66045000</t>
  </si>
  <si>
    <t>APÍA</t>
  </si>
  <si>
    <t>66075000</t>
  </si>
  <si>
    <t>66088000</t>
  </si>
  <si>
    <t>BELÉN DE UMBRÍA</t>
  </si>
  <si>
    <t>66170000</t>
  </si>
  <si>
    <t>DOSQUEBRADAS</t>
  </si>
  <si>
    <t>66318000</t>
  </si>
  <si>
    <t>GUÁTICA</t>
  </si>
  <si>
    <t>66383000</t>
  </si>
  <si>
    <t>LA CELIA</t>
  </si>
  <si>
    <t>66400000</t>
  </si>
  <si>
    <t>LA VIRGINIA</t>
  </si>
  <si>
    <t>66440000</t>
  </si>
  <si>
    <t>MARSELLA</t>
  </si>
  <si>
    <t>66456000</t>
  </si>
  <si>
    <t>MISTRATÓ</t>
  </si>
  <si>
    <t>66572000</t>
  </si>
  <si>
    <t>PUEBLO RICO</t>
  </si>
  <si>
    <t>66594000</t>
  </si>
  <si>
    <t>QUINCHÍA</t>
  </si>
  <si>
    <t>66682000</t>
  </si>
  <si>
    <t>SANTA ROSA DE CABAL</t>
  </si>
  <si>
    <t>66687000</t>
  </si>
  <si>
    <t>SANTUARIO</t>
  </si>
  <si>
    <t>68001000</t>
  </si>
  <si>
    <t>BUCARAMANGA</t>
  </si>
  <si>
    <t>68013000</t>
  </si>
  <si>
    <t>AGUADA</t>
  </si>
  <si>
    <t>68020000</t>
  </si>
  <si>
    <t>68051000</t>
  </si>
  <si>
    <t>ARATOCA</t>
  </si>
  <si>
    <t>68077000</t>
  </si>
  <si>
    <t>68079000</t>
  </si>
  <si>
    <t>BARICHARA</t>
  </si>
  <si>
    <t>68081000</t>
  </si>
  <si>
    <t>BARRANCABERMEJA</t>
  </si>
  <si>
    <t>68092000</t>
  </si>
  <si>
    <t>68101000</t>
  </si>
  <si>
    <t>68121000</t>
  </si>
  <si>
    <t>68132000</t>
  </si>
  <si>
    <t>CALIFORNIA</t>
  </si>
  <si>
    <t>68147000</t>
  </si>
  <si>
    <t>CAPITANEJO</t>
  </si>
  <si>
    <t>68152000</t>
  </si>
  <si>
    <t>CARCASÍ</t>
  </si>
  <si>
    <t>68160000</t>
  </si>
  <si>
    <t>CEPITÁ</t>
  </si>
  <si>
    <t>68162000</t>
  </si>
  <si>
    <t>CERRITO</t>
  </si>
  <si>
    <t>68167000</t>
  </si>
  <si>
    <t>CHARALÁ</t>
  </si>
  <si>
    <t>68169000</t>
  </si>
  <si>
    <t>CHARTA</t>
  </si>
  <si>
    <t>68176000</t>
  </si>
  <si>
    <t>CHIMA</t>
  </si>
  <si>
    <t>68179000</t>
  </si>
  <si>
    <t>CHIPATÁ</t>
  </si>
  <si>
    <t>68190000</t>
  </si>
  <si>
    <t>CIMITARRA</t>
  </si>
  <si>
    <t>68207000</t>
  </si>
  <si>
    <t>68209000</t>
  </si>
  <si>
    <t>CONFINES</t>
  </si>
  <si>
    <t>68211000</t>
  </si>
  <si>
    <t>CONTRATACIÓN</t>
  </si>
  <si>
    <t>68217000</t>
  </si>
  <si>
    <t>COROMORO</t>
  </si>
  <si>
    <t>68229000</t>
  </si>
  <si>
    <t>CURITÍ</t>
  </si>
  <si>
    <t>68235000</t>
  </si>
  <si>
    <t>EL CARMEN DE CHUCURÍ</t>
  </si>
  <si>
    <t>68245000</t>
  </si>
  <si>
    <t>EL GUACAMAYO</t>
  </si>
  <si>
    <t>68250000</t>
  </si>
  <si>
    <t>68255000</t>
  </si>
  <si>
    <t>EL PLAYÓN</t>
  </si>
  <si>
    <t>68264000</t>
  </si>
  <si>
    <t>ENCINO</t>
  </si>
  <si>
    <t>68266000</t>
  </si>
  <si>
    <t>ENCISO</t>
  </si>
  <si>
    <t>68271000</t>
  </si>
  <si>
    <t>FLORIÁN</t>
  </si>
  <si>
    <t>68276000</t>
  </si>
  <si>
    <t>FLORIDABLANCA</t>
  </si>
  <si>
    <t>68296000</t>
  </si>
  <si>
    <t>GALÁN</t>
  </si>
  <si>
    <t>68298000</t>
  </si>
  <si>
    <t>GÁMBITA</t>
  </si>
  <si>
    <t>68307000</t>
  </si>
  <si>
    <t>GIRÓN</t>
  </si>
  <si>
    <t>68318000</t>
  </si>
  <si>
    <t>GUACA</t>
  </si>
  <si>
    <t>68320000</t>
  </si>
  <si>
    <t>68322000</t>
  </si>
  <si>
    <t>GUAPOTÁ</t>
  </si>
  <si>
    <t>68324000</t>
  </si>
  <si>
    <t>GUAVATÁ</t>
  </si>
  <si>
    <t>68327000</t>
  </si>
  <si>
    <t>GÜEPSA</t>
  </si>
  <si>
    <t>68344000</t>
  </si>
  <si>
    <t>HATO</t>
  </si>
  <si>
    <t>68368000</t>
  </si>
  <si>
    <t>JESÚS MARÍA</t>
  </si>
  <si>
    <t>68370000</t>
  </si>
  <si>
    <t>JORDÁN</t>
  </si>
  <si>
    <t>68377000</t>
  </si>
  <si>
    <t>LA BELLEZA</t>
  </si>
  <si>
    <t>68385000</t>
  </si>
  <si>
    <t>LANDÁZURI</t>
  </si>
  <si>
    <t>68397000</t>
  </si>
  <si>
    <t>68406000</t>
  </si>
  <si>
    <t>LEBRIJA</t>
  </si>
  <si>
    <t>68418000</t>
  </si>
  <si>
    <t>LOS SANTOS</t>
  </si>
  <si>
    <t>68425000</t>
  </si>
  <si>
    <t>MACARAVITA</t>
  </si>
  <si>
    <t>68432000</t>
  </si>
  <si>
    <t>MÁLAGA</t>
  </si>
  <si>
    <t>68444000</t>
  </si>
  <si>
    <t>MATANZA</t>
  </si>
  <si>
    <t>68464000</t>
  </si>
  <si>
    <t>MOGOTES</t>
  </si>
  <si>
    <t>68468000</t>
  </si>
  <si>
    <t>MOLAGAVITA</t>
  </si>
  <si>
    <t>68498000</t>
  </si>
  <si>
    <t>OCAMONTE</t>
  </si>
  <si>
    <t>68500000</t>
  </si>
  <si>
    <t>OIBA</t>
  </si>
  <si>
    <t>68502000</t>
  </si>
  <si>
    <t>ONZAGA</t>
  </si>
  <si>
    <t>68522000</t>
  </si>
  <si>
    <t>PALMAR</t>
  </si>
  <si>
    <t>68524000</t>
  </si>
  <si>
    <t>PALMAS DEL SOCORRO</t>
  </si>
  <si>
    <t>68533000</t>
  </si>
  <si>
    <t>PÁRAMO</t>
  </si>
  <si>
    <t>68547000</t>
  </si>
  <si>
    <t>PIEDECUESTA</t>
  </si>
  <si>
    <t>68549000</t>
  </si>
  <si>
    <t>PINCHOTE</t>
  </si>
  <si>
    <t>68572000</t>
  </si>
  <si>
    <t>PUENTE NACIONAL</t>
  </si>
  <si>
    <t>68573000</t>
  </si>
  <si>
    <t>PUERTO PARRA</t>
  </si>
  <si>
    <t>68575000</t>
  </si>
  <si>
    <t>PUERTO WILCHES</t>
  </si>
  <si>
    <t>68615000</t>
  </si>
  <si>
    <t>68655000</t>
  </si>
  <si>
    <t>SABANA DE TORRES</t>
  </si>
  <si>
    <t>68669000</t>
  </si>
  <si>
    <t>SAN ANDRÉS</t>
  </si>
  <si>
    <t>68673000</t>
  </si>
  <si>
    <t>SAN BENITO</t>
  </si>
  <si>
    <t>68679000</t>
  </si>
  <si>
    <t>SAN GIL</t>
  </si>
  <si>
    <t>68682000</t>
  </si>
  <si>
    <t>SAN JOAQUÍN</t>
  </si>
  <si>
    <t>68684000</t>
  </si>
  <si>
    <t>SAN JOSÉ DE MIRANDA</t>
  </si>
  <si>
    <t>68686000</t>
  </si>
  <si>
    <t>SAN MIGUEL</t>
  </si>
  <si>
    <t>68689000</t>
  </si>
  <si>
    <t>SAN VICENTE DE CHUCURÍ</t>
  </si>
  <si>
    <t>68705000</t>
  </si>
  <si>
    <t>68720000</t>
  </si>
  <si>
    <t>SANTA HELENA DEL OPÓN</t>
  </si>
  <si>
    <t>68745000</t>
  </si>
  <si>
    <t>SIMACOTA</t>
  </si>
  <si>
    <t>68755000</t>
  </si>
  <si>
    <t>SOCORRO</t>
  </si>
  <si>
    <t>68770000</t>
  </si>
  <si>
    <t>SUAITA</t>
  </si>
  <si>
    <t>68773000</t>
  </si>
  <si>
    <t>68780000</t>
  </si>
  <si>
    <t>SURATÁ</t>
  </si>
  <si>
    <t>68820000</t>
  </si>
  <si>
    <t>TONA</t>
  </si>
  <si>
    <t>68855000</t>
  </si>
  <si>
    <t>VALLE DE SAN JOSÉ</t>
  </si>
  <si>
    <t>68861000</t>
  </si>
  <si>
    <t>VÉLEZ</t>
  </si>
  <si>
    <t>68867000</t>
  </si>
  <si>
    <t>VETAS</t>
  </si>
  <si>
    <t>68872000</t>
  </si>
  <si>
    <t>68895000</t>
  </si>
  <si>
    <t>ZAPATOCA</t>
  </si>
  <si>
    <t>70001000</t>
  </si>
  <si>
    <t>SINCELEJO</t>
  </si>
  <si>
    <t>70110000</t>
  </si>
  <si>
    <t>70124000</t>
  </si>
  <si>
    <t>CAIMITO</t>
  </si>
  <si>
    <t>70204000</t>
  </si>
  <si>
    <t>COLOSÓ</t>
  </si>
  <si>
    <t>70215000</t>
  </si>
  <si>
    <t>COROZAL</t>
  </si>
  <si>
    <t>70221000</t>
  </si>
  <si>
    <t>COVEÑAS</t>
  </si>
  <si>
    <t>70230000</t>
  </si>
  <si>
    <t>CHALÁN</t>
  </si>
  <si>
    <t>70233000</t>
  </si>
  <si>
    <t>EL ROBLE</t>
  </si>
  <si>
    <t>70235000</t>
  </si>
  <si>
    <t>GALERAS</t>
  </si>
  <si>
    <t>70265000</t>
  </si>
  <si>
    <t>GUARANDA</t>
  </si>
  <si>
    <t>70400000</t>
  </si>
  <si>
    <t>70418000</t>
  </si>
  <si>
    <t>LOS PALMITOS</t>
  </si>
  <si>
    <t>70429000</t>
  </si>
  <si>
    <t>MAJAGUAL</t>
  </si>
  <si>
    <t>70473000</t>
  </si>
  <si>
    <t>MORROA</t>
  </si>
  <si>
    <t>70508000</t>
  </si>
  <si>
    <t>OVEJAS</t>
  </si>
  <si>
    <t>70523000</t>
  </si>
  <si>
    <t>PALMITO</t>
  </si>
  <si>
    <t>70670000</t>
  </si>
  <si>
    <t>SAMPUÉS</t>
  </si>
  <si>
    <t>70678000</t>
  </si>
  <si>
    <t>SAN BENITO ABAD</t>
  </si>
  <si>
    <t>70702000</t>
  </si>
  <si>
    <t>SAN JUAN DE BETULIA</t>
  </si>
  <si>
    <t>70708000</t>
  </si>
  <si>
    <t>SAN MARCOS</t>
  </si>
  <si>
    <t>70713000</t>
  </si>
  <si>
    <t>SAN ONOFRE</t>
  </si>
  <si>
    <t>70717000</t>
  </si>
  <si>
    <t>SAN PEDRO</t>
  </si>
  <si>
    <t>70742000</t>
  </si>
  <si>
    <t>SAN LUIS DE SINCÉ</t>
  </si>
  <si>
    <t>70771000</t>
  </si>
  <si>
    <t>70820000</t>
  </si>
  <si>
    <t>SANTIAGO DE TOLÚ</t>
  </si>
  <si>
    <t>70823000</t>
  </si>
  <si>
    <t>SAN JOSÉ DE TOLUVIEJO</t>
  </si>
  <si>
    <t>73001000</t>
  </si>
  <si>
    <t>IBAGUÉ</t>
  </si>
  <si>
    <t>73024000</t>
  </si>
  <si>
    <t>ALPUJARRA</t>
  </si>
  <si>
    <t>73026000</t>
  </si>
  <si>
    <t>ALVARADO</t>
  </si>
  <si>
    <t>73030000</t>
  </si>
  <si>
    <t>AMBALEMA</t>
  </si>
  <si>
    <t>73043000</t>
  </si>
  <si>
    <t>ANZOÁTEGUI</t>
  </si>
  <si>
    <t>73055000</t>
  </si>
  <si>
    <t>ARMERO</t>
  </si>
  <si>
    <t>73067000</t>
  </si>
  <si>
    <t>ATACO</t>
  </si>
  <si>
    <t>73124000</t>
  </si>
  <si>
    <t>CAJAMARCA</t>
  </si>
  <si>
    <t>73148000</t>
  </si>
  <si>
    <t>CARMEN DE APICALÁ</t>
  </si>
  <si>
    <t>73152000</t>
  </si>
  <si>
    <t>CASABIANCA</t>
  </si>
  <si>
    <t>73168000</t>
  </si>
  <si>
    <t>CHAPARRAL</t>
  </si>
  <si>
    <t>73200000</t>
  </si>
  <si>
    <t>COELLO</t>
  </si>
  <si>
    <t>73217000</t>
  </si>
  <si>
    <t>COYAIMA</t>
  </si>
  <si>
    <t>73226000</t>
  </si>
  <si>
    <t>CUNDAY</t>
  </si>
  <si>
    <t>73236000</t>
  </si>
  <si>
    <t>DOLORES</t>
  </si>
  <si>
    <t>73268000</t>
  </si>
  <si>
    <t>ESPINAL</t>
  </si>
  <si>
    <t>73270000</t>
  </si>
  <si>
    <t>FALAN</t>
  </si>
  <si>
    <t>73275000</t>
  </si>
  <si>
    <t>FLANDES</t>
  </si>
  <si>
    <t>73283000</t>
  </si>
  <si>
    <t>FRESNO</t>
  </si>
  <si>
    <t>73319000</t>
  </si>
  <si>
    <t>GUAMO</t>
  </si>
  <si>
    <t>73347000</t>
  </si>
  <si>
    <t>HERVEO</t>
  </si>
  <si>
    <t>73349000</t>
  </si>
  <si>
    <t>HONDA</t>
  </si>
  <si>
    <t>73352000</t>
  </si>
  <si>
    <t>ICONONZO</t>
  </si>
  <si>
    <t>73408000</t>
  </si>
  <si>
    <t>LÉRIDA</t>
  </si>
  <si>
    <t>73411000</t>
  </si>
  <si>
    <t>LÍBANO</t>
  </si>
  <si>
    <t>73443000</t>
  </si>
  <si>
    <t>SAN SEBASTIÁN DE MARIQUITA</t>
  </si>
  <si>
    <t>73449000</t>
  </si>
  <si>
    <t>MELGAR</t>
  </si>
  <si>
    <t>73461000</t>
  </si>
  <si>
    <t>MURILLO</t>
  </si>
  <si>
    <t>73483000</t>
  </si>
  <si>
    <t>NATAGAIMA</t>
  </si>
  <si>
    <t>73504000</t>
  </si>
  <si>
    <t>ORTEGA</t>
  </si>
  <si>
    <t>73520000</t>
  </si>
  <si>
    <t>PALOCABILDO</t>
  </si>
  <si>
    <t>73547000</t>
  </si>
  <si>
    <t>PIEDRAS</t>
  </si>
  <si>
    <t>73555000</t>
  </si>
  <si>
    <t>PLANADAS</t>
  </si>
  <si>
    <t>73563000</t>
  </si>
  <si>
    <t>PRADO</t>
  </si>
  <si>
    <t>73585000</t>
  </si>
  <si>
    <t>PURIFICACIÓN</t>
  </si>
  <si>
    <t>73616000</t>
  </si>
  <si>
    <t>RIOBLANCO</t>
  </si>
  <si>
    <t>73622000</t>
  </si>
  <si>
    <t>RONCESVALLES</t>
  </si>
  <si>
    <t>73624000</t>
  </si>
  <si>
    <t>ROVIRA</t>
  </si>
  <si>
    <t>73671000</t>
  </si>
  <si>
    <t>SALDAÑA</t>
  </si>
  <si>
    <t>73675000</t>
  </si>
  <si>
    <t>SAN ANTONIO</t>
  </si>
  <si>
    <t>73678000</t>
  </si>
  <si>
    <t>73686000</t>
  </si>
  <si>
    <t>SANTA ISABEL</t>
  </si>
  <si>
    <t>73770000</t>
  </si>
  <si>
    <t>73854000</t>
  </si>
  <si>
    <t>VALLE DE SAN JUAN</t>
  </si>
  <si>
    <t>73861000</t>
  </si>
  <si>
    <t>VENADILLO</t>
  </si>
  <si>
    <t>73870000</t>
  </si>
  <si>
    <t>VILLAHERMOSA</t>
  </si>
  <si>
    <t>73873000</t>
  </si>
  <si>
    <t>VILLARRICA</t>
  </si>
  <si>
    <t>76001000</t>
  </si>
  <si>
    <t>SANTIAGO DE CALI</t>
  </si>
  <si>
    <t>76020000</t>
  </si>
  <si>
    <t>ALCALÁ</t>
  </si>
  <si>
    <t>76036000</t>
  </si>
  <si>
    <t>ANDALUCÍA</t>
  </si>
  <si>
    <t>76041000</t>
  </si>
  <si>
    <t>ANSERMANUEVO</t>
  </si>
  <si>
    <t>76054000</t>
  </si>
  <si>
    <t>76100000</t>
  </si>
  <si>
    <t>76109000</t>
  </si>
  <si>
    <t>BUENAVENTURA</t>
  </si>
  <si>
    <t>76111000</t>
  </si>
  <si>
    <t>GUADALAJARA DE BUGA</t>
  </si>
  <si>
    <t>76113000</t>
  </si>
  <si>
    <t>BUGALAGRANDE</t>
  </si>
  <si>
    <t>76122000</t>
  </si>
  <si>
    <t>CAICEDONIA</t>
  </si>
  <si>
    <t>76126000</t>
  </si>
  <si>
    <t>CALIMA</t>
  </si>
  <si>
    <t>76130000</t>
  </si>
  <si>
    <t>76147000</t>
  </si>
  <si>
    <t>CARTAGO</t>
  </si>
  <si>
    <t>76233000</t>
  </si>
  <si>
    <t>DAGUA</t>
  </si>
  <si>
    <t>76243000</t>
  </si>
  <si>
    <t>EL ÁGUILA</t>
  </si>
  <si>
    <t>76246000</t>
  </si>
  <si>
    <t>EL CAIRO</t>
  </si>
  <si>
    <t>76248000</t>
  </si>
  <si>
    <t>EL CERRITO</t>
  </si>
  <si>
    <t>76250000</t>
  </si>
  <si>
    <t>EL DOVIO</t>
  </si>
  <si>
    <t>76275000</t>
  </si>
  <si>
    <t>FLORIDA</t>
  </si>
  <si>
    <t>76306000</t>
  </si>
  <si>
    <t>GINEBRA</t>
  </si>
  <si>
    <t>76318000</t>
  </si>
  <si>
    <t>GUACARÍ</t>
  </si>
  <si>
    <t>76364000</t>
  </si>
  <si>
    <t>JAMUNDÍ</t>
  </si>
  <si>
    <t>76377000</t>
  </si>
  <si>
    <t>LA CUMBRE</t>
  </si>
  <si>
    <t>76400000</t>
  </si>
  <si>
    <t>76403000</t>
  </si>
  <si>
    <t>76497000</t>
  </si>
  <si>
    <t>OBANDO</t>
  </si>
  <si>
    <t>76520000</t>
  </si>
  <si>
    <t>PALMIRA</t>
  </si>
  <si>
    <t>76563000</t>
  </si>
  <si>
    <t>PRADERA</t>
  </si>
  <si>
    <t>76606000</t>
  </si>
  <si>
    <t>76616000</t>
  </si>
  <si>
    <t>RIOFRÍO</t>
  </si>
  <si>
    <t>76622000</t>
  </si>
  <si>
    <t>ROLDANILLO</t>
  </si>
  <si>
    <t>76670000</t>
  </si>
  <si>
    <t>76736000</t>
  </si>
  <si>
    <t>SEVILLA</t>
  </si>
  <si>
    <t>76823000</t>
  </si>
  <si>
    <t>TORO</t>
  </si>
  <si>
    <t>76828000</t>
  </si>
  <si>
    <t>TRUJILLO</t>
  </si>
  <si>
    <t>76834000</t>
  </si>
  <si>
    <t>TULUÁ</t>
  </si>
  <si>
    <t>76845000</t>
  </si>
  <si>
    <t>ULLOA</t>
  </si>
  <si>
    <t>76863000</t>
  </si>
  <si>
    <t>VERSALLES</t>
  </si>
  <si>
    <t>76869000</t>
  </si>
  <si>
    <t>VIJES</t>
  </si>
  <si>
    <t>76890000</t>
  </si>
  <si>
    <t>YOTOCO</t>
  </si>
  <si>
    <t>76892000</t>
  </si>
  <si>
    <t>YUMBO</t>
  </si>
  <si>
    <t>76895000</t>
  </si>
  <si>
    <t>ZARZAL</t>
  </si>
  <si>
    <t>81001000</t>
  </si>
  <si>
    <t>ARAUCA</t>
  </si>
  <si>
    <t>81065000</t>
  </si>
  <si>
    <t>ARAUQUITA</t>
  </si>
  <si>
    <t>81220000</t>
  </si>
  <si>
    <t>CRAVO NORTE</t>
  </si>
  <si>
    <t>81300000</t>
  </si>
  <si>
    <t>FORTUL</t>
  </si>
  <si>
    <t>81591000</t>
  </si>
  <si>
    <t>PUERTO RONDÓN</t>
  </si>
  <si>
    <t>81736000</t>
  </si>
  <si>
    <t>SARAVENA</t>
  </si>
  <si>
    <t>81794000</t>
  </si>
  <si>
    <t>TAME</t>
  </si>
  <si>
    <t>85001000</t>
  </si>
  <si>
    <t>YOPAL</t>
  </si>
  <si>
    <t>85010000</t>
  </si>
  <si>
    <t>AGUAZUL</t>
  </si>
  <si>
    <t>85015000</t>
  </si>
  <si>
    <t>CHÁMEZA</t>
  </si>
  <si>
    <t>85125000</t>
  </si>
  <si>
    <t>HATO COROZAL</t>
  </si>
  <si>
    <t>85136000</t>
  </si>
  <si>
    <t>LA SALINA</t>
  </si>
  <si>
    <t>85139000</t>
  </si>
  <si>
    <t>MANÍ</t>
  </si>
  <si>
    <t>85162000</t>
  </si>
  <si>
    <t>MONTERREY</t>
  </si>
  <si>
    <t>85225000</t>
  </si>
  <si>
    <t>NUNCHÍA</t>
  </si>
  <si>
    <t>85230000</t>
  </si>
  <si>
    <t>OROCUÉ</t>
  </si>
  <si>
    <t>85250000</t>
  </si>
  <si>
    <t>PAZ DE ARIPORO</t>
  </si>
  <si>
    <t>85263000</t>
  </si>
  <si>
    <t>PORE</t>
  </si>
  <si>
    <t>85279000</t>
  </si>
  <si>
    <t>RECETOR</t>
  </si>
  <si>
    <t>85300000</t>
  </si>
  <si>
    <t>85315000</t>
  </si>
  <si>
    <t>SÁCAMA</t>
  </si>
  <si>
    <t>85325000</t>
  </si>
  <si>
    <t>SAN LUIS DE PALENQUE</t>
  </si>
  <si>
    <t>85400000</t>
  </si>
  <si>
    <t>TÁMARA</t>
  </si>
  <si>
    <t>85410000</t>
  </si>
  <si>
    <t>TAURAMENA</t>
  </si>
  <si>
    <t>85430000</t>
  </si>
  <si>
    <t>TRINIDAD</t>
  </si>
  <si>
    <t>85440000</t>
  </si>
  <si>
    <t>86001000</t>
  </si>
  <si>
    <t>MOCOA</t>
  </si>
  <si>
    <t>86219000</t>
  </si>
  <si>
    <t>86320000</t>
  </si>
  <si>
    <t>ORITO</t>
  </si>
  <si>
    <t>86568000</t>
  </si>
  <si>
    <t>PUERTO ASÍS</t>
  </si>
  <si>
    <t>86569000</t>
  </si>
  <si>
    <t>PUERTO CAICEDO</t>
  </si>
  <si>
    <t>86571000</t>
  </si>
  <si>
    <t>PUERTO GUZMÁN</t>
  </si>
  <si>
    <t>86573000</t>
  </si>
  <si>
    <t>PUERTO LEGUÍZAMO</t>
  </si>
  <si>
    <t>86749000</t>
  </si>
  <si>
    <t>SIBUNDOY</t>
  </si>
  <si>
    <t>86755000</t>
  </si>
  <si>
    <t>86757000</t>
  </si>
  <si>
    <t>86760000</t>
  </si>
  <si>
    <t>86865000</t>
  </si>
  <si>
    <t>VALLE DEL GUAMUEZ</t>
  </si>
  <si>
    <t>86885000</t>
  </si>
  <si>
    <t>VILLAGARZÓN</t>
  </si>
  <si>
    <t>88001000</t>
  </si>
  <si>
    <t>88564000</t>
  </si>
  <si>
    <t>91001000</t>
  </si>
  <si>
    <t>LETICIA</t>
  </si>
  <si>
    <t>91263000</t>
  </si>
  <si>
    <t>EL ENCANTO</t>
  </si>
  <si>
    <t>91405000</t>
  </si>
  <si>
    <t>LA CHORRERA</t>
  </si>
  <si>
    <t>91407000</t>
  </si>
  <si>
    <t>LA PEDRERA</t>
  </si>
  <si>
    <t>91430000</t>
  </si>
  <si>
    <t>91460000</t>
  </si>
  <si>
    <t>MIRITÍ - PARANÁ</t>
  </si>
  <si>
    <t>91530000</t>
  </si>
  <si>
    <t>PUERTO ALEGRÍA</t>
  </si>
  <si>
    <t>91536000</t>
  </si>
  <si>
    <t>PUERTO ARICA</t>
  </si>
  <si>
    <t>91540000</t>
  </si>
  <si>
    <t>PUERTO NARIÑO</t>
  </si>
  <si>
    <t>91669000</t>
  </si>
  <si>
    <t>91798000</t>
  </si>
  <si>
    <t>TARAPACÁ</t>
  </si>
  <si>
    <t>94001000</t>
  </si>
  <si>
    <t>INÍRIDA</t>
  </si>
  <si>
    <t>94343000</t>
  </si>
  <si>
    <t>BARRANCOMINAS</t>
  </si>
  <si>
    <t>94883000</t>
  </si>
  <si>
    <t>SAN FELIPE</t>
  </si>
  <si>
    <t>94884000</t>
  </si>
  <si>
    <t>94885000</t>
  </si>
  <si>
    <t>LA GUADALUPE</t>
  </si>
  <si>
    <t>94886000</t>
  </si>
  <si>
    <t>CACAHUAL</t>
  </si>
  <si>
    <t>94887000</t>
  </si>
  <si>
    <t>PANA PANA</t>
  </si>
  <si>
    <t>94888000</t>
  </si>
  <si>
    <t>MORICHAL</t>
  </si>
  <si>
    <t>95001000</t>
  </si>
  <si>
    <t>SAN JOSÉ DEL GUAVIARE</t>
  </si>
  <si>
    <t>95015000</t>
  </si>
  <si>
    <t>95025000</t>
  </si>
  <si>
    <t>EL RETORNO</t>
  </si>
  <si>
    <t>95200000</t>
  </si>
  <si>
    <t>97001000</t>
  </si>
  <si>
    <t>MITÚ</t>
  </si>
  <si>
    <t>97161000</t>
  </si>
  <si>
    <t>CARURÚ</t>
  </si>
  <si>
    <t>97511000</t>
  </si>
  <si>
    <t>PACOA</t>
  </si>
  <si>
    <t>97666000</t>
  </si>
  <si>
    <t>TARAIRA</t>
  </si>
  <si>
    <t>97777000</t>
  </si>
  <si>
    <t>PAPUNAHUA</t>
  </si>
  <si>
    <t>97889000</t>
  </si>
  <si>
    <t>YAVARATÉ</t>
  </si>
  <si>
    <t>99001000</t>
  </si>
  <si>
    <t>PUERTO CARREÑO</t>
  </si>
  <si>
    <t>99524000</t>
  </si>
  <si>
    <t>LA PRIMAVERA</t>
  </si>
  <si>
    <t>99624000</t>
  </si>
  <si>
    <t>SANTA ROSALÍA</t>
  </si>
  <si>
    <t>99773000</t>
  </si>
  <si>
    <t>CUMARIBO</t>
  </si>
  <si>
    <t>Convenio</t>
  </si>
  <si>
    <t>Codigo</t>
  </si>
  <si>
    <t>Base liquidación</t>
  </si>
  <si>
    <t>Comercial/360</t>
  </si>
  <si>
    <t>Real/360</t>
  </si>
  <si>
    <t>Real/365</t>
  </si>
  <si>
    <t>Aseguradora</t>
  </si>
  <si>
    <t>ACE SEGUROS S.A</t>
  </si>
  <si>
    <t>CHARTIS COLOMBIA S.A.</t>
  </si>
  <si>
    <t>ALICO COLOMBIA SEGUROS DE VIDA S.A.</t>
  </si>
  <si>
    <t>ASEGURADORA COLSEGUROS S.A.</t>
  </si>
  <si>
    <t>ASEGURADORA DE CR+DITO Y DEL COMERCIO EXTERIOR</t>
  </si>
  <si>
    <t>ASEGURADORA SOLIDARIA DE COLOMBIA LTDA.</t>
  </si>
  <si>
    <t>BBVA SEGUROS COLOMBIA S.A.</t>
  </si>
  <si>
    <t>CHUBB DE COLOMBIA COMPA-IA DE SEGUROS S.A.</t>
  </si>
  <si>
    <t>COMPAÑIA ASEGURADORA DE FIANZAS S.A. CONFIANZA</t>
  </si>
  <si>
    <t>COMPAÑIA DE SEGUROS DE VIDA AURORA S.A.</t>
  </si>
  <si>
    <t>COMPAÑIA MUNDIAL DE SEGUROS S.A</t>
  </si>
  <si>
    <t>CONDOR S.A.</t>
  </si>
  <si>
    <t>GENERALI COLOMBIA SEGUROS GENERALES S.A.</t>
  </si>
  <si>
    <t>GLOBAL SEGUROS DE VIDA S.A.</t>
  </si>
  <si>
    <t>LA EQUIDAD SEGUROS GENERALES</t>
  </si>
  <si>
    <t>LA PREVISORA S.A.</t>
  </si>
  <si>
    <t>LIBERTY SEGUROS S.A.</t>
  </si>
  <si>
    <t>MAPFRE - CREDISEGURO S.A.</t>
  </si>
  <si>
    <t>MAPFRE COLOMBIA VIDA SEGUROS S.A.</t>
  </si>
  <si>
    <t>MAPFRE SEGUROS GENERALES DE COLOMBIA S.A.</t>
  </si>
  <si>
    <t>PAN AMERICAN DE COLOMBIA S.A.</t>
  </si>
  <si>
    <t>POSITIVA COMPAÑIA DE SEGUROS S.A</t>
  </si>
  <si>
    <t>QBE SEGUROS S.A.</t>
  </si>
  <si>
    <t>RSA SEGUROS</t>
  </si>
  <si>
    <t>SEGUREXPO DE COLOMBIA S.A.</t>
  </si>
  <si>
    <t>SEGUROS ALFA S.A.</t>
  </si>
  <si>
    <t>SEGUROS COLPATRIA S.A.</t>
  </si>
  <si>
    <t>SEGUROS DEL ESTADO S.A.</t>
  </si>
  <si>
    <t>SURA</t>
  </si>
  <si>
    <t>FONDO DE AYUDA MUTUA</t>
  </si>
  <si>
    <t>LA INTERAMERICANA</t>
  </si>
  <si>
    <t>CIGNA SEGUROS</t>
  </si>
  <si>
    <t>SEGUROS ATLAS S.A.</t>
  </si>
  <si>
    <t>SEGUROS BOLIVAR S.A</t>
  </si>
  <si>
    <t>SEGUROS CAJA AGRARIA S.A.</t>
  </si>
  <si>
    <t>SEGUROS TEQUENDAMA S.A.</t>
  </si>
  <si>
    <t>SEGUROS UCONAL</t>
  </si>
  <si>
    <t>VERIFICAR</t>
  </si>
  <si>
    <t>AGRICOLA DE SEGUROS</t>
  </si>
  <si>
    <t>PROMEDICO FONDO EMPLEADOS COLO</t>
  </si>
  <si>
    <t>CENTRAL DE SEGUROS</t>
  </si>
  <si>
    <t>ROYAL &amp; SUN ALLIANCE SEGUROS</t>
  </si>
  <si>
    <t>SEGUROS FALABELLA</t>
  </si>
  <si>
    <t>ECO SEGUROS S.A.</t>
  </si>
  <si>
    <t>SEGUROS GENER.SURAMERICANA S.A</t>
  </si>
  <si>
    <t>CARDIF COLOMBIA SEGUROS GENERA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</si>
</sst>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000000"/>
    <numFmt numFmtId="166" formatCode="00"/>
  </numFmts>
  <fonts count="20">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b/>
      <sz val="24"/>
      <color theme="1"/>
      <name val="Apple Color Emoji"/>
    </font>
    <font>
      <b/>
      <sz val="18"/>
      <color theme="1"/>
      <name val="Apple Color Emoji"/>
    </font>
    <font>
      <sz val="14"/>
      <color theme="1"/>
      <name val="Apple Color Emoji"/>
    </font>
    <font>
      <b/>
      <sz val="8"/>
      <color rgb="FFFFFFFF"/>
      <name val="Montserrat"/>
    </font>
    <font>
      <b/>
      <sz val="10"/>
      <color theme="1"/>
      <name val="Arial"/>
      <family val="2"/>
    </font>
    <font>
      <sz val="11"/>
      <name val="Calibri"/>
      <family val="2"/>
      <scheme val="minor"/>
    </font>
    <font>
      <b/>
      <sz val="11"/>
      <name val="Calibri"/>
      <family val="2"/>
      <scheme val="minor"/>
    </font>
    <font>
      <sz val="11"/>
      <color rgb="FF000000"/>
      <name val="Calibri"/>
      <family val="2"/>
      <scheme val="minor"/>
    </font>
    <font>
      <u/>
      <sz val="11"/>
      <name val="Calibri"/>
      <family val="2"/>
      <scheme val="minor"/>
    </font>
    <font>
      <b/>
      <sz val="11"/>
      <color rgb="FF000000"/>
      <name val="Calibri"/>
      <family val="2"/>
      <scheme val="minor"/>
    </font>
    <font>
      <b/>
      <sz val="11"/>
      <color rgb="FFFF0000"/>
      <name val="Calibri"/>
      <family val="2"/>
      <scheme val="minor"/>
    </font>
    <font>
      <sz val="10"/>
      <color theme="1"/>
      <name val="Arial"/>
      <family val="2"/>
    </font>
    <font>
      <b/>
      <sz val="9"/>
      <color theme="1"/>
      <name val="Arial"/>
      <family val="2"/>
    </font>
    <font>
      <sz val="9"/>
      <color theme="1"/>
      <name val="Arial"/>
      <family val="2"/>
    </font>
    <font>
      <sz val="9"/>
      <name val="Arial"/>
      <family val="2"/>
    </font>
    <font>
      <b/>
      <sz val="11"/>
      <color rgb="FFFFFFFF"/>
      <name val="Calibri"/>
      <family val="2"/>
      <scheme val="minor"/>
    </font>
  </fonts>
  <fills count="30">
    <fill>
      <patternFill patternType="none"/>
    </fill>
    <fill>
      <patternFill patternType="gray125"/>
    </fill>
    <fill>
      <patternFill patternType="solid">
        <fgColor theme="9" tint="0.79998168889431442"/>
        <bgColor indexed="64"/>
      </patternFill>
    </fill>
    <fill>
      <patternFill patternType="solid">
        <fgColor rgb="FF14327D"/>
        <bgColor indexed="64"/>
      </patternFill>
    </fill>
    <fill>
      <patternFill patternType="solid">
        <fgColor theme="6" tint="0.59999389629810485"/>
        <bgColor indexed="64"/>
      </patternFill>
    </fill>
    <fill>
      <patternFill patternType="solid">
        <fgColor theme="8" tint="-0.249977111117893"/>
        <bgColor indexed="64"/>
      </patternFill>
    </fill>
    <fill>
      <patternFill patternType="solid">
        <fgColor rgb="FFFFFF99"/>
        <bgColor indexed="64"/>
      </patternFill>
    </fill>
    <fill>
      <patternFill patternType="solid">
        <fgColor rgb="FFFFFF0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rgb="FFCC6600"/>
        <bgColor indexed="64"/>
      </patternFill>
    </fill>
    <fill>
      <patternFill patternType="solid">
        <fgColor theme="7" tint="0.59999389629810485"/>
        <bgColor indexed="64"/>
      </patternFill>
    </fill>
    <fill>
      <patternFill patternType="solid">
        <fgColor rgb="FFFF99FF"/>
        <bgColor indexed="64"/>
      </patternFill>
    </fill>
    <fill>
      <patternFill patternType="solid">
        <fgColor theme="7" tint="-0.249977111117893"/>
        <bgColor indexed="64"/>
      </patternFill>
    </fill>
    <fill>
      <patternFill patternType="solid">
        <fgColor rgb="FFCC99FF"/>
        <bgColor indexed="64"/>
      </patternFill>
    </fill>
    <fill>
      <patternFill patternType="solid">
        <fgColor rgb="FF66FF66"/>
        <bgColor indexed="64"/>
      </patternFill>
    </fill>
    <fill>
      <patternFill patternType="solid">
        <fgColor theme="3" tint="-0.249977111117893"/>
        <bgColor indexed="64"/>
      </patternFill>
    </fill>
    <fill>
      <patternFill patternType="solid">
        <fgColor rgb="FFFF9900"/>
        <bgColor indexed="64"/>
      </patternFill>
    </fill>
    <fill>
      <patternFill patternType="solid">
        <fgColor theme="9" tint="0.39997558519241921"/>
        <bgColor indexed="64"/>
      </patternFill>
    </fill>
    <fill>
      <patternFill patternType="solid">
        <fgColor rgb="FF33CCFF"/>
        <bgColor indexed="64"/>
      </patternFill>
    </fill>
    <fill>
      <patternFill patternType="solid">
        <fgColor rgb="FFCCCCFF"/>
        <bgColor indexed="64"/>
      </patternFill>
    </fill>
    <fill>
      <patternFill patternType="solid">
        <fgColor theme="9" tint="0.59999389629810485"/>
        <bgColor indexed="64"/>
      </patternFill>
    </fill>
    <fill>
      <patternFill patternType="solid">
        <fgColor theme="6" tint="-0.249977111117893"/>
        <bgColor indexed="64"/>
      </patternFill>
    </fill>
    <fill>
      <patternFill patternType="solid">
        <fgColor theme="7" tint="0.79998168889431442"/>
        <bgColor indexed="64"/>
      </patternFill>
    </fill>
    <fill>
      <patternFill patternType="solid">
        <fgColor theme="3" tint="9.9978637043366805E-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002060"/>
        <bgColor indexed="64"/>
      </patternFill>
    </fill>
    <fill>
      <patternFill patternType="solid">
        <fgColor rgb="FF002060"/>
        <bgColor rgb="FF000000"/>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s>
  <cellStyleXfs count="1">
    <xf numFmtId="0" fontId="0" fillId="0" borderId="0"/>
  </cellStyleXfs>
  <cellXfs count="156">
    <xf numFmtId="0" fontId="0" fillId="0" borderId="0" xfId="0"/>
    <xf numFmtId="0" fontId="4" fillId="0" borderId="0" xfId="0" applyFont="1"/>
    <xf numFmtId="0" fontId="5" fillId="0" borderId="0" xfId="0" applyFont="1"/>
    <xf numFmtId="0" fontId="6" fillId="0" borderId="0" xfId="0" applyFont="1"/>
    <xf numFmtId="0" fontId="3" fillId="2" borderId="1" xfId="0" applyFont="1" applyFill="1" applyBorder="1" applyAlignment="1">
      <alignment horizontal="center" vertical="center" wrapText="1"/>
    </xf>
    <xf numFmtId="0" fontId="7" fillId="3" borderId="1" xfId="0" applyFont="1" applyFill="1" applyBorder="1" applyAlignment="1">
      <alignment horizontal="center" vertical="center" wrapText="1" readingOrder="1"/>
    </xf>
    <xf numFmtId="0" fontId="8" fillId="4" borderId="1" xfId="0" applyFont="1" applyFill="1" applyBorder="1" applyAlignment="1">
      <alignment horizontal="left"/>
    </xf>
    <xf numFmtId="0" fontId="0" fillId="0" borderId="1" xfId="0" applyBorder="1" applyAlignment="1">
      <alignment horizontal="center" vertical="center"/>
    </xf>
    <xf numFmtId="0" fontId="9" fillId="0" borderId="1" xfId="0" applyFont="1" applyBorder="1" applyAlignment="1">
      <alignment horizontal="center" vertical="center"/>
    </xf>
    <xf numFmtId="0" fontId="9" fillId="0" borderId="1" xfId="0" applyFont="1" applyBorder="1" applyAlignment="1">
      <alignment horizontal="left" vertical="top" wrapText="1"/>
    </xf>
    <xf numFmtId="0" fontId="9" fillId="0" borderId="1" xfId="0" applyFont="1" applyBorder="1" applyAlignment="1">
      <alignment horizontal="left" vertical="top"/>
    </xf>
    <xf numFmtId="0" fontId="9" fillId="0" borderId="1" xfId="0" applyFont="1" applyBorder="1" applyAlignment="1">
      <alignment vertical="top" wrapText="1"/>
    </xf>
    <xf numFmtId="0" fontId="0" fillId="0" borderId="1" xfId="0" applyBorder="1" applyAlignment="1">
      <alignment horizontal="left"/>
    </xf>
    <xf numFmtId="0" fontId="9" fillId="0" borderId="1" xfId="0" applyFont="1" applyBorder="1" applyAlignment="1">
      <alignment horizontal="left"/>
    </xf>
    <xf numFmtId="49" fontId="9" fillId="0" borderId="1" xfId="0" applyNumberFormat="1" applyFont="1" applyBorder="1" applyAlignment="1">
      <alignment horizontal="left" wrapText="1"/>
    </xf>
    <xf numFmtId="49" fontId="9" fillId="0" borderId="1" xfId="0" applyNumberFormat="1" applyFont="1" applyBorder="1" applyAlignment="1">
      <alignment horizontal="left"/>
    </xf>
    <xf numFmtId="49" fontId="0" fillId="0" borderId="1" xfId="0" applyNumberFormat="1" applyBorder="1" applyAlignment="1">
      <alignment horizontal="left" wrapText="1"/>
    </xf>
    <xf numFmtId="49" fontId="9" fillId="0" borderId="1" xfId="0" applyNumberFormat="1" applyFont="1" applyBorder="1" applyAlignment="1">
      <alignment horizontal="left" vertical="top"/>
    </xf>
    <xf numFmtId="49" fontId="9" fillId="0" borderId="1" xfId="0" applyNumberFormat="1" applyFont="1" applyBorder="1" applyAlignment="1">
      <alignment vertical="top" wrapText="1"/>
    </xf>
    <xf numFmtId="49" fontId="0" fillId="0" borderId="1" xfId="0" applyNumberFormat="1" applyBorder="1" applyAlignment="1">
      <alignment horizontal="left"/>
    </xf>
    <xf numFmtId="0" fontId="2" fillId="0" borderId="1" xfId="0" applyFont="1" applyBorder="1" applyAlignment="1">
      <alignment horizontal="left" vertical="top" wrapText="1"/>
    </xf>
    <xf numFmtId="49" fontId="9" fillId="0" borderId="1" xfId="0" applyNumberFormat="1" applyFont="1" applyBorder="1" applyAlignment="1">
      <alignment horizontal="left" vertical="top" wrapText="1"/>
    </xf>
    <xf numFmtId="0" fontId="3" fillId="6" borderId="1" xfId="0" applyFont="1" applyFill="1" applyBorder="1" applyAlignment="1">
      <alignment horizontal="left" vertical="center"/>
    </xf>
    <xf numFmtId="49" fontId="0" fillId="0" borderId="1" xfId="0" applyNumberFormat="1" applyBorder="1" applyAlignment="1">
      <alignment horizontal="left" vertical="center" wrapText="1"/>
    </xf>
    <xf numFmtId="49" fontId="0" fillId="0" borderId="1" xfId="0" applyNumberFormat="1" applyBorder="1" applyAlignment="1">
      <alignment horizontal="left" vertical="top" wrapText="1"/>
    </xf>
    <xf numFmtId="0" fontId="3" fillId="7" borderId="1" xfId="0" applyFont="1" applyFill="1" applyBorder="1" applyAlignment="1">
      <alignment horizontal="left"/>
    </xf>
    <xf numFmtId="0" fontId="0" fillId="7" borderId="1" xfId="0" applyFill="1" applyBorder="1" applyAlignment="1">
      <alignment horizontal="left"/>
    </xf>
    <xf numFmtId="0" fontId="9" fillId="7" borderId="1" xfId="0" applyFont="1" applyFill="1" applyBorder="1" applyAlignment="1">
      <alignment horizontal="left" vertical="top" wrapText="1"/>
    </xf>
    <xf numFmtId="49" fontId="0" fillId="7" borderId="1" xfId="0" applyNumberFormat="1" applyFill="1" applyBorder="1" applyAlignment="1">
      <alignment horizontal="left"/>
    </xf>
    <xf numFmtId="49" fontId="9" fillId="7" borderId="1" xfId="0" applyNumberFormat="1" applyFont="1" applyFill="1" applyBorder="1" applyAlignment="1">
      <alignment horizontal="left"/>
    </xf>
    <xf numFmtId="0" fontId="3" fillId="0" borderId="1" xfId="0" applyFont="1" applyBorder="1" applyAlignment="1">
      <alignment horizontal="left"/>
    </xf>
    <xf numFmtId="0" fontId="9" fillId="2" borderId="1" xfId="0" applyFont="1" applyFill="1" applyBorder="1" applyAlignment="1">
      <alignment horizontal="center" vertical="center"/>
    </xf>
    <xf numFmtId="0" fontId="9" fillId="2" borderId="1" xfId="0" applyFont="1" applyFill="1" applyBorder="1" applyAlignment="1">
      <alignment horizontal="left" vertical="top" wrapText="1"/>
    </xf>
    <xf numFmtId="0" fontId="9" fillId="2" borderId="1" xfId="0" applyFont="1" applyFill="1" applyBorder="1" applyAlignment="1">
      <alignment horizontal="left" vertical="top"/>
    </xf>
    <xf numFmtId="49" fontId="9" fillId="2" borderId="1" xfId="0" applyNumberFormat="1" applyFont="1" applyFill="1" applyBorder="1" applyAlignment="1">
      <alignment horizontal="left" vertical="top"/>
    </xf>
    <xf numFmtId="0" fontId="0" fillId="8" borderId="1" xfId="0" applyFill="1" applyBorder="1" applyAlignment="1">
      <alignment horizontal="left"/>
    </xf>
    <xf numFmtId="0" fontId="11" fillId="0" borderId="1" xfId="0" applyFont="1" applyBorder="1" applyAlignment="1">
      <alignment horizontal="left" vertical="top" wrapText="1"/>
    </xf>
    <xf numFmtId="49" fontId="9" fillId="2" borderId="1" xfId="0" applyNumberFormat="1" applyFont="1" applyFill="1" applyBorder="1" applyAlignment="1">
      <alignment horizontal="left" vertical="top" wrapText="1"/>
    </xf>
    <xf numFmtId="0" fontId="2" fillId="0" borderId="1" xfId="0" applyFont="1" applyBorder="1" applyAlignment="1">
      <alignment horizontal="left"/>
    </xf>
    <xf numFmtId="49" fontId="2" fillId="0" borderId="1" xfId="0" applyNumberFormat="1" applyFont="1" applyBorder="1" applyAlignment="1">
      <alignment vertical="top" wrapText="1"/>
    </xf>
    <xf numFmtId="0" fontId="3" fillId="9" borderId="1" xfId="0" applyFont="1" applyFill="1" applyBorder="1" applyAlignment="1">
      <alignment horizontal="left" vertical="center"/>
    </xf>
    <xf numFmtId="49" fontId="9" fillId="0" borderId="1" xfId="0" applyNumberFormat="1" applyFont="1" applyBorder="1" applyAlignment="1">
      <alignment vertical="center" wrapText="1"/>
    </xf>
    <xf numFmtId="0" fontId="10" fillId="10" borderId="1" xfId="0" applyFont="1" applyFill="1" applyBorder="1" applyAlignment="1">
      <alignment horizontal="center" vertical="center" wrapText="1"/>
    </xf>
    <xf numFmtId="0" fontId="10" fillId="11" borderId="1" xfId="0" applyFont="1" applyFill="1" applyBorder="1" applyAlignment="1">
      <alignment horizontal="center" vertical="center"/>
    </xf>
    <xf numFmtId="0" fontId="10" fillId="12" borderId="1" xfId="0" applyFont="1" applyFill="1" applyBorder="1" applyAlignment="1">
      <alignment horizontal="left" vertical="center" wrapText="1"/>
    </xf>
    <xf numFmtId="0" fontId="3" fillId="12" borderId="1" xfId="0" applyFont="1" applyFill="1" applyBorder="1" applyAlignment="1">
      <alignment vertical="center"/>
    </xf>
    <xf numFmtId="0" fontId="10" fillId="11" borderId="1" xfId="0" applyFont="1" applyFill="1" applyBorder="1" applyAlignment="1">
      <alignment horizontal="center" vertical="center" wrapText="1"/>
    </xf>
    <xf numFmtId="49" fontId="2" fillId="0" borderId="1" xfId="0" applyNumberFormat="1" applyFont="1" applyBorder="1" applyAlignment="1">
      <alignment horizontal="left"/>
    </xf>
    <xf numFmtId="0" fontId="3" fillId="12" borderId="1" xfId="0" applyFont="1" applyFill="1" applyBorder="1" applyAlignment="1">
      <alignment horizontal="left"/>
    </xf>
    <xf numFmtId="0" fontId="3" fillId="0" borderId="1" xfId="0" applyFont="1" applyBorder="1" applyAlignment="1">
      <alignment vertical="center"/>
    </xf>
    <xf numFmtId="0" fontId="3" fillId="0" borderId="1" xfId="0" applyFont="1" applyBorder="1" applyAlignment="1">
      <alignment horizontal="left" vertical="center"/>
    </xf>
    <xf numFmtId="0" fontId="3" fillId="13" borderId="1" xfId="0" applyFont="1" applyFill="1" applyBorder="1" applyAlignment="1">
      <alignment horizontal="left" vertical="center"/>
    </xf>
    <xf numFmtId="49" fontId="9" fillId="0" borderId="1" xfId="0" applyNumberFormat="1" applyFont="1" applyBorder="1" applyAlignment="1">
      <alignment wrapText="1"/>
    </xf>
    <xf numFmtId="0" fontId="0" fillId="19" borderId="1" xfId="0" applyFill="1" applyBorder="1" applyAlignment="1">
      <alignment horizontal="left"/>
    </xf>
    <xf numFmtId="0" fontId="10" fillId="21" borderId="1" xfId="0" applyFont="1" applyFill="1" applyBorder="1" applyAlignment="1">
      <alignment horizontal="center" vertical="center" wrapText="1"/>
    </xf>
    <xf numFmtId="0" fontId="0" fillId="0" borderId="1" xfId="0" applyBorder="1" applyAlignment="1">
      <alignment horizontal="left" vertical="top"/>
    </xf>
    <xf numFmtId="49" fontId="0" fillId="0" borderId="1" xfId="0" applyNumberFormat="1" applyBorder="1" applyAlignment="1">
      <alignment horizontal="left" vertical="top"/>
    </xf>
    <xf numFmtId="0" fontId="3" fillId="22" borderId="1" xfId="0" applyFont="1" applyFill="1" applyBorder="1" applyAlignment="1">
      <alignment horizontal="left" vertical="center"/>
    </xf>
    <xf numFmtId="49" fontId="9" fillId="0" borderId="1" xfId="0" applyNumberFormat="1" applyFont="1" applyBorder="1" applyAlignment="1">
      <alignment horizontal="left" vertical="center" wrapText="1"/>
    </xf>
    <xf numFmtId="49" fontId="9" fillId="2" borderId="1" xfId="0" applyNumberFormat="1" applyFont="1" applyFill="1" applyBorder="1" applyAlignment="1">
      <alignment horizontal="left" wrapText="1"/>
    </xf>
    <xf numFmtId="0" fontId="9" fillId="24" borderId="1" xfId="0" applyFont="1" applyFill="1" applyBorder="1" applyAlignment="1">
      <alignment horizontal="center" vertical="center"/>
    </xf>
    <xf numFmtId="0" fontId="9" fillId="24" borderId="1" xfId="0" applyFont="1" applyFill="1" applyBorder="1" applyAlignment="1">
      <alignment horizontal="left" vertical="top" wrapText="1"/>
    </xf>
    <xf numFmtId="0" fontId="9" fillId="24" borderId="1" xfId="0" applyFont="1" applyFill="1" applyBorder="1" applyAlignment="1">
      <alignment horizontal="left" vertical="top"/>
    </xf>
    <xf numFmtId="0" fontId="0" fillId="0" borderId="1" xfId="0" applyBorder="1" applyAlignment="1">
      <alignment vertical="top" wrapText="1"/>
    </xf>
    <xf numFmtId="0" fontId="9" fillId="24" borderId="1" xfId="0" applyFont="1" applyFill="1" applyBorder="1" applyAlignment="1">
      <alignment horizontal="left"/>
    </xf>
    <xf numFmtId="49" fontId="9" fillId="24" borderId="1" xfId="0" applyNumberFormat="1" applyFont="1" applyFill="1" applyBorder="1" applyAlignment="1">
      <alignment horizontal="left" vertical="top"/>
    </xf>
    <xf numFmtId="0" fontId="9" fillId="24" borderId="1" xfId="0" applyFont="1" applyFill="1" applyBorder="1"/>
    <xf numFmtId="0" fontId="9" fillId="14" borderId="1" xfId="0" applyFont="1" applyFill="1" applyBorder="1" applyAlignment="1">
      <alignment horizontal="center" vertical="center" wrapText="1"/>
    </xf>
    <xf numFmtId="49" fontId="9" fillId="24" borderId="1" xfId="0" applyNumberFormat="1" applyFont="1" applyFill="1" applyBorder="1" applyAlignment="1">
      <alignment horizontal="left" vertical="top" wrapText="1"/>
    </xf>
    <xf numFmtId="0" fontId="9" fillId="24" borderId="1" xfId="0" applyFont="1" applyFill="1" applyBorder="1" applyAlignment="1">
      <alignment vertical="top" wrapText="1"/>
    </xf>
    <xf numFmtId="0" fontId="9" fillId="24" borderId="1" xfId="0" applyFont="1" applyFill="1" applyBorder="1" applyAlignment="1">
      <alignment wrapText="1"/>
    </xf>
    <xf numFmtId="0" fontId="1" fillId="0" borderId="1" xfId="0" applyFont="1" applyBorder="1" applyAlignment="1">
      <alignment horizontal="center" vertical="center" wrapText="1"/>
    </xf>
    <xf numFmtId="0" fontId="0" fillId="0" borderId="1" xfId="0" applyBorder="1"/>
    <xf numFmtId="0" fontId="9" fillId="0" borderId="1" xfId="0" applyFont="1" applyBorder="1" applyAlignment="1">
      <alignment horizontal="justify" vertical="center" wrapText="1"/>
    </xf>
    <xf numFmtId="0" fontId="0" fillId="0" borderId="1" xfId="0" applyBorder="1" applyAlignment="1">
      <alignment wrapText="1"/>
    </xf>
    <xf numFmtId="0" fontId="3" fillId="23" borderId="1" xfId="0" applyFont="1" applyFill="1" applyBorder="1" applyAlignment="1">
      <alignment horizontal="left"/>
    </xf>
    <xf numFmtId="0" fontId="0" fillId="0" borderId="1" xfId="0" applyBorder="1" applyAlignment="1">
      <alignment horizontal="left" vertical="top" wrapText="1"/>
    </xf>
    <xf numFmtId="0" fontId="3" fillId="24" borderId="1" xfId="0" applyFont="1" applyFill="1" applyBorder="1" applyAlignment="1">
      <alignment horizontal="left"/>
    </xf>
    <xf numFmtId="0" fontId="9" fillId="0" borderId="1" xfId="0" applyFont="1" applyBorder="1" applyAlignment="1">
      <alignment wrapText="1"/>
    </xf>
    <xf numFmtId="0" fontId="3" fillId="4" borderId="1" xfId="0" applyFont="1" applyFill="1" applyBorder="1" applyAlignment="1">
      <alignment vertical="center"/>
    </xf>
    <xf numFmtId="0" fontId="10" fillId="8" borderId="1" xfId="0" applyFont="1" applyFill="1" applyBorder="1" applyAlignment="1">
      <alignment vertical="center" wrapText="1"/>
    </xf>
    <xf numFmtId="0" fontId="0" fillId="0" borderId="2" xfId="0" applyBorder="1" applyAlignment="1">
      <alignment vertical="center"/>
    </xf>
    <xf numFmtId="0" fontId="0" fillId="0" borderId="1" xfId="0" applyBorder="1" applyAlignment="1">
      <alignment vertical="center"/>
    </xf>
    <xf numFmtId="0" fontId="15" fillId="0" borderId="1" xfId="0" applyFont="1" applyBorder="1" applyAlignment="1">
      <alignment vertical="center"/>
    </xf>
    <xf numFmtId="0" fontId="1" fillId="17" borderId="1" xfId="0" applyFont="1" applyFill="1" applyBorder="1" applyAlignment="1">
      <alignment horizontal="center" vertical="center" wrapText="1"/>
    </xf>
    <xf numFmtId="0" fontId="10" fillId="18" borderId="1" xfId="0" applyFont="1" applyFill="1" applyBorder="1" applyAlignment="1">
      <alignment horizontal="center" vertical="center" wrapText="1"/>
    </xf>
    <xf numFmtId="164" fontId="9" fillId="0" borderId="1" xfId="0" applyNumberFormat="1" applyFont="1" applyBorder="1" applyAlignment="1">
      <alignment horizontal="center" vertical="center"/>
    </xf>
    <xf numFmtId="164" fontId="9" fillId="0" borderId="1" xfId="0" applyNumberFormat="1" applyFont="1" applyBorder="1" applyAlignment="1">
      <alignment horizontal="center" vertical="center" wrapText="1"/>
    </xf>
    <xf numFmtId="0" fontId="9" fillId="0" borderId="1" xfId="0" applyFont="1" applyBorder="1" applyAlignment="1">
      <alignment horizontal="center" vertical="center" wrapText="1"/>
    </xf>
    <xf numFmtId="165" fontId="16" fillId="0" borderId="3" xfId="0" applyNumberFormat="1" applyFont="1" applyBorder="1" applyAlignment="1">
      <alignment horizontal="center" vertical="center"/>
    </xf>
    <xf numFmtId="0" fontId="16" fillId="0" borderId="5" xfId="0" applyFont="1" applyBorder="1" applyAlignment="1">
      <alignment horizontal="center" vertical="center"/>
    </xf>
    <xf numFmtId="165" fontId="17" fillId="26" borderId="2" xfId="0" applyNumberFormat="1" applyFont="1" applyFill="1" applyBorder="1" applyAlignment="1">
      <alignment horizontal="center" vertical="center" wrapText="1"/>
    </xf>
    <xf numFmtId="0" fontId="17" fillId="26" borderId="6" xfId="0" applyFont="1" applyFill="1" applyBorder="1" applyAlignment="1">
      <alignment horizontal="left" vertical="center" wrapText="1"/>
    </xf>
    <xf numFmtId="165" fontId="17" fillId="0" borderId="4" xfId="0" applyNumberFormat="1" applyFont="1" applyBorder="1" applyAlignment="1">
      <alignment horizontal="center" vertical="center" wrapText="1"/>
    </xf>
    <xf numFmtId="0" fontId="17" fillId="0" borderId="7" xfId="0" applyFont="1" applyBorder="1" applyAlignment="1">
      <alignment horizontal="left" vertical="center" wrapText="1"/>
    </xf>
    <xf numFmtId="165" fontId="17" fillId="26" borderId="4" xfId="0" applyNumberFormat="1" applyFont="1" applyFill="1" applyBorder="1" applyAlignment="1">
      <alignment horizontal="center" vertical="center" wrapText="1"/>
    </xf>
    <xf numFmtId="0" fontId="17" fillId="26" borderId="7" xfId="0" applyFont="1" applyFill="1" applyBorder="1" applyAlignment="1">
      <alignment horizontal="left" vertical="center" wrapText="1"/>
    </xf>
    <xf numFmtId="165" fontId="18" fillId="0" borderId="4" xfId="0" applyNumberFormat="1" applyFont="1" applyBorder="1" applyAlignment="1">
      <alignment horizontal="center" vertical="center" wrapText="1"/>
    </xf>
    <xf numFmtId="0" fontId="18" fillId="0" borderId="7" xfId="0" applyFont="1" applyBorder="1" applyAlignment="1">
      <alignment horizontal="left" vertical="center" wrapText="1"/>
    </xf>
    <xf numFmtId="0" fontId="3" fillId="27" borderId="1" xfId="0" applyFont="1" applyFill="1" applyBorder="1"/>
    <xf numFmtId="0" fontId="0" fillId="0" borderId="1" xfId="0" applyBorder="1" applyAlignment="1">
      <alignment vertical="center" wrapText="1"/>
    </xf>
    <xf numFmtId="0" fontId="1" fillId="28" borderId="1" xfId="0" applyFont="1" applyFill="1" applyBorder="1"/>
    <xf numFmtId="164" fontId="0" fillId="0" borderId="1" xfId="0" applyNumberFormat="1" applyBorder="1"/>
    <xf numFmtId="166" fontId="19" fillId="29" borderId="1" xfId="0" applyNumberFormat="1" applyFont="1" applyFill="1" applyBorder="1"/>
    <xf numFmtId="0" fontId="19" fillId="29" borderId="8" xfId="0" applyFont="1" applyFill="1" applyBorder="1" applyAlignment="1">
      <alignment wrapText="1"/>
    </xf>
    <xf numFmtId="166" fontId="11" fillId="0" borderId="3" xfId="0" applyNumberFormat="1" applyFont="1" applyBorder="1" applyAlignment="1">
      <alignment vertical="center" wrapText="1"/>
    </xf>
    <xf numFmtId="0" fontId="11" fillId="0" borderId="5" xfId="0" applyFont="1" applyBorder="1" applyAlignment="1">
      <alignment vertical="center" wrapText="1"/>
    </xf>
    <xf numFmtId="0" fontId="6" fillId="0" borderId="0" xfId="0" applyFont="1" applyAlignment="1">
      <alignment horizontal="center" wrapText="1"/>
    </xf>
    <xf numFmtId="0" fontId="3" fillId="13" borderId="1" xfId="0" applyFont="1" applyFill="1" applyBorder="1" applyAlignment="1">
      <alignment horizontal="left" vertical="center"/>
    </xf>
    <xf numFmtId="0" fontId="3" fillId="15" borderId="1" xfId="0" applyFont="1" applyFill="1" applyBorder="1" applyAlignment="1">
      <alignment horizontal="left" vertical="center"/>
    </xf>
    <xf numFmtId="0" fontId="3" fillId="22" borderId="2" xfId="0" applyFont="1" applyFill="1" applyBorder="1" applyAlignment="1">
      <alignment horizontal="center" vertical="center"/>
    </xf>
    <xf numFmtId="0" fontId="3" fillId="22" borderId="4" xfId="0" applyFont="1" applyFill="1" applyBorder="1" applyAlignment="1">
      <alignment horizontal="center" vertical="center"/>
    </xf>
    <xf numFmtId="0" fontId="3" fillId="22" borderId="3" xfId="0" applyFont="1" applyFill="1" applyBorder="1" applyAlignment="1">
      <alignment horizontal="center" vertical="center"/>
    </xf>
    <xf numFmtId="0" fontId="9" fillId="14"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3" fillId="6" borderId="1" xfId="0" applyFont="1" applyFill="1" applyBorder="1" applyAlignment="1">
      <alignment horizontal="left" vertical="center"/>
    </xf>
    <xf numFmtId="0" fontId="0" fillId="6" borderId="1" xfId="0" applyFill="1" applyBorder="1" applyAlignment="1">
      <alignment horizontal="center"/>
    </xf>
    <xf numFmtId="0" fontId="3" fillId="23" borderId="2" xfId="0" applyFont="1" applyFill="1" applyBorder="1" applyAlignment="1">
      <alignment horizontal="center" vertical="center"/>
    </xf>
    <xf numFmtId="0" fontId="3" fillId="23" borderId="4" xfId="0" applyFont="1" applyFill="1" applyBorder="1" applyAlignment="1">
      <alignment horizontal="center" vertical="center"/>
    </xf>
    <xf numFmtId="0" fontId="3" fillId="23" borderId="3" xfId="0" applyFont="1" applyFill="1" applyBorder="1" applyAlignment="1">
      <alignment horizontal="center" vertical="center"/>
    </xf>
    <xf numFmtId="0" fontId="3" fillId="24" borderId="2" xfId="0" applyFont="1" applyFill="1" applyBorder="1" applyAlignment="1">
      <alignment horizontal="center" vertical="center" wrapText="1"/>
    </xf>
    <xf numFmtId="0" fontId="3" fillId="24" borderId="4" xfId="0" applyFont="1" applyFill="1" applyBorder="1" applyAlignment="1">
      <alignment horizontal="center" vertical="center" wrapText="1"/>
    </xf>
    <xf numFmtId="0" fontId="3" fillId="24" borderId="3" xfId="0" applyFont="1" applyFill="1" applyBorder="1" applyAlignment="1">
      <alignment horizontal="center" vertical="center" wrapText="1"/>
    </xf>
    <xf numFmtId="0" fontId="3" fillId="14" borderId="1" xfId="0" applyFont="1" applyFill="1" applyBorder="1" applyAlignment="1">
      <alignment horizontal="left" vertical="center"/>
    </xf>
    <xf numFmtId="0" fontId="10" fillId="16" borderId="1" xfId="0" applyFont="1" applyFill="1" applyBorder="1" applyAlignment="1">
      <alignment horizontal="left" vertical="center"/>
    </xf>
    <xf numFmtId="0" fontId="3" fillId="18" borderId="2" xfId="0" applyFont="1" applyFill="1" applyBorder="1" applyAlignment="1">
      <alignment horizontal="center" vertical="center"/>
    </xf>
    <xf numFmtId="0" fontId="3" fillId="18" borderId="4" xfId="0" applyFont="1" applyFill="1" applyBorder="1" applyAlignment="1">
      <alignment horizontal="center" vertical="center"/>
    </xf>
    <xf numFmtId="0" fontId="3" fillId="18" borderId="3" xfId="0" applyFont="1" applyFill="1" applyBorder="1" applyAlignment="1">
      <alignment horizontal="center" vertical="center"/>
    </xf>
    <xf numFmtId="0" fontId="3" fillId="12" borderId="1" xfId="0" applyFont="1" applyFill="1" applyBorder="1" applyAlignment="1">
      <alignment horizontal="left" vertical="center"/>
    </xf>
    <xf numFmtId="0" fontId="3" fillId="20" borderId="1" xfId="0" applyFont="1" applyFill="1" applyBorder="1" applyAlignment="1">
      <alignment horizontal="left" vertical="center"/>
    </xf>
    <xf numFmtId="0" fontId="3" fillId="21" borderId="1" xfId="0" applyFont="1" applyFill="1" applyBorder="1" applyAlignment="1">
      <alignment horizontal="left" vertical="center"/>
    </xf>
    <xf numFmtId="0" fontId="3" fillId="21" borderId="1" xfId="0" applyFont="1" applyFill="1" applyBorder="1" applyAlignment="1">
      <alignment horizontal="center"/>
    </xf>
    <xf numFmtId="0" fontId="2" fillId="0" borderId="1" xfId="0" applyFont="1" applyBorder="1" applyAlignment="1">
      <alignment horizontal="left"/>
    </xf>
    <xf numFmtId="0" fontId="3" fillId="16" borderId="1" xfId="0" applyFont="1" applyFill="1" applyBorder="1" applyAlignment="1">
      <alignment horizontal="left" vertical="center"/>
    </xf>
    <xf numFmtId="49" fontId="9" fillId="0" borderId="1" xfId="0" applyNumberFormat="1" applyFont="1" applyBorder="1" applyAlignment="1">
      <alignment vertical="top"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center" vertical="center"/>
    </xf>
    <xf numFmtId="0" fontId="1" fillId="17" borderId="2" xfId="0" applyFont="1" applyFill="1" applyBorder="1" applyAlignment="1">
      <alignment horizontal="center" vertical="center" wrapText="1"/>
    </xf>
    <xf numFmtId="0" fontId="1" fillId="17" borderId="4" xfId="0" applyFont="1" applyFill="1" applyBorder="1" applyAlignment="1">
      <alignment horizontal="center" vertical="center" wrapText="1"/>
    </xf>
    <xf numFmtId="0" fontId="1" fillId="17" borderId="3" xfId="0" applyFont="1" applyFill="1" applyBorder="1" applyAlignment="1">
      <alignment horizontal="center" vertical="center" wrapText="1"/>
    </xf>
    <xf numFmtId="0" fontId="3" fillId="9" borderId="1" xfId="0" applyFont="1" applyFill="1" applyBorder="1" applyAlignment="1">
      <alignment horizontal="left" vertical="center"/>
    </xf>
    <xf numFmtId="0" fontId="3" fillId="2" borderId="1" xfId="0" applyFont="1" applyFill="1" applyBorder="1" applyAlignment="1">
      <alignment horizontal="left" vertical="center"/>
    </xf>
    <xf numFmtId="0" fontId="0" fillId="5" borderId="1" xfId="0" applyFill="1" applyBorder="1" applyAlignment="1">
      <alignment horizontal="center" vertical="center" wrapText="1"/>
    </xf>
    <xf numFmtId="0" fontId="0" fillId="5" borderId="1" xfId="0" applyFill="1" applyBorder="1" applyAlignment="1">
      <alignment horizont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10" fillId="7" borderId="1" xfId="0" applyFont="1" applyFill="1" applyBorder="1" applyAlignment="1">
      <alignment horizontal="center" vertical="center" wrapText="1"/>
    </xf>
    <xf numFmtId="164" fontId="9" fillId="0" borderId="1" xfId="0" applyNumberFormat="1" applyFont="1" applyBorder="1" applyAlignment="1">
      <alignment horizontal="center" vertical="center" wrapText="1"/>
    </xf>
    <xf numFmtId="164" fontId="9" fillId="0" borderId="1" xfId="0" applyNumberFormat="1" applyFont="1" applyBorder="1" applyAlignment="1">
      <alignment horizontal="center" vertical="center"/>
    </xf>
    <xf numFmtId="164" fontId="9" fillId="0" borderId="1" xfId="0" applyNumberFormat="1" applyFont="1" applyBorder="1" applyAlignment="1">
      <alignment horizontal="left" vertical="center" wrapText="1"/>
    </xf>
    <xf numFmtId="164" fontId="9" fillId="0" borderId="1" xfId="0" applyNumberFormat="1" applyFont="1" applyBorder="1" applyAlignment="1">
      <alignment horizontal="left" vertical="center"/>
    </xf>
    <xf numFmtId="0" fontId="9" fillId="0" borderId="1" xfId="0" applyFont="1" applyBorder="1" applyAlignment="1">
      <alignment horizontal="center" vertical="center" wrapText="1"/>
    </xf>
    <xf numFmtId="164" fontId="1" fillId="25" borderId="1" xfId="0" applyNumberFormat="1" applyFont="1" applyFill="1" applyBorder="1" applyAlignment="1">
      <alignment horizontal="center" vertical="center" wrapText="1"/>
    </xf>
    <xf numFmtId="0" fontId="1" fillId="25" borderId="1" xfId="0" applyFont="1" applyFill="1" applyBorder="1" applyAlignment="1">
      <alignment horizontal="center" vertical="center" wrapText="1"/>
    </xf>
    <xf numFmtId="0" fontId="1" fillId="25" borderId="2" xfId="0" applyFont="1" applyFill="1" applyBorder="1" applyAlignment="1">
      <alignment horizontal="center" vertical="center" wrapText="1"/>
    </xf>
    <xf numFmtId="0" fontId="1" fillId="25" borderId="3" xfId="0" applyFont="1" applyFill="1" applyBorder="1" applyAlignment="1">
      <alignment horizontal="center" vertical="center" wrapText="1"/>
    </xf>
  </cellXfs>
  <cellStyles count="1">
    <cellStyle name="Normal" xfId="0" builtinId="0"/>
  </cellStyles>
  <dxfs count="3">
    <dxf>
      <font>
        <b val="0"/>
        <i val="0"/>
        <strike val="0"/>
        <condense val="0"/>
        <extend val="0"/>
        <outline val="0"/>
        <shadow val="0"/>
        <u val="none"/>
        <vertAlign val="baseline"/>
        <sz val="9"/>
        <color theme="1"/>
        <name val="Arial"/>
        <family val="2"/>
        <scheme val="none"/>
      </font>
      <alignment horizontal="left" vertical="center" textRotation="0" wrapText="1"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9"/>
        <color theme="1"/>
        <name val="Arial"/>
        <family val="2"/>
        <scheme val="none"/>
      </font>
      <numFmt numFmtId="165" formatCode="00000000"/>
      <alignment horizontal="center" vertical="center" textRotation="0" wrapText="1" indent="0" justifyLastLine="0" shrinkToFit="0" readingOrder="0"/>
      <border diagonalUp="0" diagonalDown="0">
        <left style="thin">
          <color indexed="64"/>
        </left>
        <right style="thin">
          <color indexed="64"/>
        </right>
        <top/>
        <bottom/>
        <vertical/>
        <horizontal/>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623FE1-8ADB-4A84-BA32-0DAAE025225F}" name="Tabla3" displayName="Tabla3" ref="A1:B1123" totalsRowShown="0" tableBorderDxfId="2">
  <autoFilter ref="A1:B1123" xr:uid="{54623FE1-8ADB-4A84-BA32-0DAAE025225F}"/>
  <tableColumns count="2">
    <tableColumn id="3" xr3:uid="{1FD7630D-C54C-42C9-B9EF-99A7185CA40F}" name=" Código " dataDxfId="1"/>
    <tableColumn id="4" xr3:uid="{0EDDD45A-6EE0-44B7-BE22-946F13690535}" name=" Nombre " dataDxfId="0"/>
  </tableColumns>
  <tableStyleInfo name="TableStyleLight15"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54878-12B7-471F-8DC2-3F2F7982826A}">
  <dimension ref="C3:U28"/>
  <sheetViews>
    <sheetView workbookViewId="0">
      <selection activeCell="B8" sqref="B8"/>
    </sheetView>
  </sheetViews>
  <sheetFormatPr baseColWidth="10" defaultRowHeight="15"/>
  <sheetData>
    <row r="3" spans="3:21" ht="30" customHeight="1">
      <c r="C3" s="1" t="s">
        <v>0</v>
      </c>
    </row>
    <row r="4" spans="3:21" ht="15" customHeight="1"/>
    <row r="5" spans="3:21" ht="33" customHeight="1">
      <c r="C5" s="2" t="s">
        <v>1</v>
      </c>
    </row>
    <row r="6" spans="3:21" ht="15" customHeight="1"/>
    <row r="7" spans="3:21" ht="40.5" customHeight="1">
      <c r="C7" s="107" t="s">
        <v>2</v>
      </c>
      <c r="D7" s="107"/>
      <c r="E7" s="107"/>
      <c r="F7" s="107"/>
      <c r="G7" s="107"/>
      <c r="H7" s="107"/>
      <c r="I7" s="107"/>
      <c r="J7" s="107"/>
      <c r="K7" s="107"/>
      <c r="L7" s="107"/>
      <c r="M7" s="107"/>
      <c r="N7" s="107"/>
      <c r="O7" s="107"/>
      <c r="P7" s="107"/>
      <c r="Q7" s="107"/>
      <c r="R7" s="107"/>
      <c r="S7" s="107"/>
      <c r="T7" s="107"/>
      <c r="U7" s="107"/>
    </row>
    <row r="8" spans="3:21" ht="15" customHeight="1">
      <c r="C8" s="107"/>
      <c r="D8" s="107"/>
      <c r="E8" s="107"/>
      <c r="F8" s="107"/>
      <c r="G8" s="107"/>
      <c r="H8" s="107"/>
      <c r="I8" s="107"/>
      <c r="J8" s="107"/>
      <c r="K8" s="107"/>
      <c r="L8" s="107"/>
      <c r="M8" s="107"/>
      <c r="N8" s="107"/>
      <c r="O8" s="107"/>
      <c r="P8" s="107"/>
      <c r="Q8" s="107"/>
      <c r="R8" s="107"/>
      <c r="S8" s="107"/>
      <c r="T8" s="107"/>
      <c r="U8" s="107"/>
    </row>
    <row r="9" spans="3:21" ht="15" customHeight="1">
      <c r="C9" s="107"/>
      <c r="D9" s="107"/>
      <c r="E9" s="107"/>
      <c r="F9" s="107"/>
      <c r="G9" s="107"/>
      <c r="H9" s="107"/>
      <c r="I9" s="107"/>
      <c r="J9" s="107"/>
      <c r="K9" s="107"/>
      <c r="L9" s="107"/>
      <c r="M9" s="107"/>
      <c r="N9" s="107"/>
      <c r="O9" s="107"/>
      <c r="P9" s="107"/>
      <c r="Q9" s="107"/>
      <c r="R9" s="107"/>
      <c r="S9" s="107"/>
      <c r="T9" s="107"/>
      <c r="U9" s="107"/>
    </row>
    <row r="10" spans="3:21" ht="15" customHeight="1"/>
    <row r="11" spans="3:21" ht="36.75" customHeight="1">
      <c r="C11" s="1" t="s">
        <v>3</v>
      </c>
    </row>
    <row r="12" spans="3:21" ht="15" customHeight="1"/>
    <row r="13" spans="3:21" ht="15" customHeight="1">
      <c r="C13" s="3" t="s">
        <v>4</v>
      </c>
    </row>
    <row r="14" spans="3:21" ht="15" customHeight="1"/>
    <row r="15" spans="3:21" ht="15" customHeight="1"/>
    <row r="16" spans="3:21" ht="15" customHeight="1">
      <c r="C16" s="3" t="s">
        <v>5</v>
      </c>
    </row>
    <row r="17" spans="3:3" ht="15" customHeight="1"/>
    <row r="18" spans="3:3" ht="15" customHeight="1">
      <c r="C18" s="3" t="s">
        <v>6</v>
      </c>
    </row>
    <row r="19" spans="3:3" ht="15" customHeight="1">
      <c r="C19" s="3" t="s">
        <v>7</v>
      </c>
    </row>
    <row r="20" spans="3:3" ht="15" customHeight="1">
      <c r="C20" s="3" t="s">
        <v>8</v>
      </c>
    </row>
    <row r="21" spans="3:3" ht="15" customHeight="1">
      <c r="C21" s="3"/>
    </row>
    <row r="22" spans="3:3" ht="18">
      <c r="C22" s="3"/>
    </row>
    <row r="23" spans="3:3" ht="18">
      <c r="C23" s="3"/>
    </row>
    <row r="24" spans="3:3" ht="18">
      <c r="C24" s="3"/>
    </row>
    <row r="26" spans="3:3" ht="18">
      <c r="C26" s="3"/>
    </row>
    <row r="27" spans="3:3" ht="18">
      <c r="C27" s="3"/>
    </row>
    <row r="28" spans="3:3" ht="18">
      <c r="C28" s="3"/>
    </row>
  </sheetData>
  <mergeCells count="1">
    <mergeCell ref="C7:U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8C726-387E-4EA7-9B84-07F7F28C83D6}">
  <dimension ref="A1:S295"/>
  <sheetViews>
    <sheetView zoomScale="85" zoomScaleNormal="85" workbookViewId="0">
      <selection activeCell="G1" sqref="G1"/>
    </sheetView>
  </sheetViews>
  <sheetFormatPr baseColWidth="10" defaultRowHeight="15"/>
  <cols>
    <col min="1" max="1" width="10.7109375" bestFit="1" customWidth="1"/>
    <col min="2" max="2" width="33.140625" bestFit="1" customWidth="1"/>
    <col min="4" max="4" width="15.140625" bestFit="1" customWidth="1"/>
    <col min="5" max="5" width="9.85546875" bestFit="1" customWidth="1"/>
    <col min="7" max="7" width="35.140625" bestFit="1" customWidth="1"/>
    <col min="8" max="8" width="11.28515625" bestFit="1" customWidth="1"/>
    <col min="9" max="9" width="11.140625" bestFit="1" customWidth="1"/>
    <col min="10" max="10" width="98.42578125" bestFit="1" customWidth="1"/>
    <col min="11" max="11" width="180.7109375" bestFit="1" customWidth="1"/>
    <col min="12" max="12" width="15.140625" bestFit="1" customWidth="1"/>
    <col min="13" max="13" width="26.5703125" bestFit="1" customWidth="1"/>
    <col min="14" max="14" width="9.7109375" bestFit="1" customWidth="1"/>
    <col min="15" max="15" width="11.7109375" bestFit="1" customWidth="1"/>
    <col min="16" max="16" width="10.5703125" bestFit="1" customWidth="1"/>
    <col min="17" max="18" width="9.42578125" bestFit="1" customWidth="1"/>
    <col min="19" max="19" width="60.28515625" bestFit="1" customWidth="1"/>
  </cols>
  <sheetData>
    <row r="1" spans="1:19" ht="51">
      <c r="A1" s="4" t="s">
        <v>9</v>
      </c>
      <c r="B1" s="5" t="s">
        <v>10</v>
      </c>
      <c r="C1" s="5" t="s">
        <v>11</v>
      </c>
      <c r="D1" s="5" t="s">
        <v>12</v>
      </c>
      <c r="E1" s="5" t="s">
        <v>13</v>
      </c>
      <c r="F1" s="5" t="s">
        <v>14</v>
      </c>
      <c r="G1" s="5" t="s">
        <v>15</v>
      </c>
      <c r="H1" s="5" t="s">
        <v>16</v>
      </c>
      <c r="I1" s="5" t="s">
        <v>17</v>
      </c>
      <c r="J1" s="4" t="s">
        <v>18</v>
      </c>
      <c r="K1" s="6" t="s">
        <v>19</v>
      </c>
      <c r="L1" s="6" t="s">
        <v>20</v>
      </c>
      <c r="M1" s="6" t="s">
        <v>21</v>
      </c>
      <c r="N1" s="6" t="s">
        <v>22</v>
      </c>
      <c r="O1" s="6" t="s">
        <v>23</v>
      </c>
      <c r="P1" s="6" t="s">
        <v>24</v>
      </c>
      <c r="Q1" s="6" t="s">
        <v>25</v>
      </c>
      <c r="R1" s="6" t="s">
        <v>26</v>
      </c>
      <c r="S1" s="6" t="s">
        <v>27</v>
      </c>
    </row>
    <row r="2" spans="1:19" ht="60">
      <c r="A2" s="7">
        <v>1</v>
      </c>
      <c r="B2" s="8" t="s">
        <v>28</v>
      </c>
      <c r="C2" s="9" t="s">
        <v>29</v>
      </c>
      <c r="D2" s="10" t="s">
        <v>30</v>
      </c>
      <c r="E2" s="10">
        <v>14</v>
      </c>
      <c r="F2" s="10" t="s">
        <v>31</v>
      </c>
      <c r="G2" s="9"/>
      <c r="H2" s="10"/>
      <c r="I2" s="10"/>
      <c r="J2" s="11" t="s">
        <v>32</v>
      </c>
      <c r="K2" s="12"/>
      <c r="L2" s="13" t="s">
        <v>30</v>
      </c>
      <c r="M2" s="14"/>
      <c r="N2" s="15" t="s">
        <v>33</v>
      </c>
      <c r="O2" s="13">
        <v>0</v>
      </c>
      <c r="P2" s="15">
        <f t="shared" ref="P2:P65" si="0">+N2+O2</f>
        <v>14</v>
      </c>
      <c r="Q2" s="15" t="s">
        <v>34</v>
      </c>
      <c r="R2" s="15">
        <f>Q2+P2-1</f>
        <v>14</v>
      </c>
      <c r="S2" s="16" t="s">
        <v>35</v>
      </c>
    </row>
    <row r="3" spans="1:19" ht="120">
      <c r="A3" s="7">
        <v>2</v>
      </c>
      <c r="B3" s="8" t="s">
        <v>36</v>
      </c>
      <c r="C3" s="9" t="s">
        <v>37</v>
      </c>
      <c r="D3" s="10" t="s">
        <v>30</v>
      </c>
      <c r="E3" s="17">
        <v>1</v>
      </c>
      <c r="F3" s="10" t="s">
        <v>31</v>
      </c>
      <c r="G3" s="9" t="s">
        <v>38</v>
      </c>
      <c r="H3" s="9" t="s">
        <v>39</v>
      </c>
      <c r="I3" s="9" t="s">
        <v>40</v>
      </c>
      <c r="J3" s="18" t="s">
        <v>41</v>
      </c>
      <c r="K3" s="12"/>
      <c r="L3" s="12" t="s">
        <v>30</v>
      </c>
      <c r="M3" s="11" t="s">
        <v>42</v>
      </c>
      <c r="N3" s="19">
        <v>1</v>
      </c>
      <c r="O3" s="12">
        <v>0</v>
      </c>
      <c r="P3" s="19">
        <f t="shared" si="0"/>
        <v>1</v>
      </c>
      <c r="Q3" s="19">
        <f>R2+1</f>
        <v>15</v>
      </c>
      <c r="R3" s="15">
        <f t="shared" ref="R3:R66" si="1">Q3+P3-1</f>
        <v>15</v>
      </c>
      <c r="S3" s="20"/>
    </row>
    <row r="4" spans="1:19" ht="45">
      <c r="A4" s="7">
        <v>3</v>
      </c>
      <c r="B4" s="8" t="s">
        <v>43</v>
      </c>
      <c r="C4" s="9" t="s">
        <v>44</v>
      </c>
      <c r="D4" s="10" t="s">
        <v>45</v>
      </c>
      <c r="E4" s="17">
        <v>11</v>
      </c>
      <c r="F4" s="10" t="s">
        <v>31</v>
      </c>
      <c r="G4" s="9" t="s">
        <v>46</v>
      </c>
      <c r="H4" s="10"/>
      <c r="I4" s="10"/>
      <c r="J4" s="11" t="s">
        <v>47</v>
      </c>
      <c r="K4" s="12"/>
      <c r="L4" s="12" t="s">
        <v>45</v>
      </c>
      <c r="M4" s="16" t="s">
        <v>46</v>
      </c>
      <c r="N4" s="19">
        <v>11</v>
      </c>
      <c r="O4" s="12">
        <v>0</v>
      </c>
      <c r="P4" s="19">
        <f t="shared" si="0"/>
        <v>11</v>
      </c>
      <c r="Q4" s="19">
        <f t="shared" ref="Q4:Q67" si="2">R3+1</f>
        <v>16</v>
      </c>
      <c r="R4" s="15">
        <f t="shared" si="1"/>
        <v>26</v>
      </c>
      <c r="S4" s="16" t="s">
        <v>48</v>
      </c>
    </row>
    <row r="5" spans="1:19" ht="105">
      <c r="A5" s="7">
        <v>4</v>
      </c>
      <c r="B5" s="8" t="s">
        <v>49</v>
      </c>
      <c r="C5" s="9" t="s">
        <v>50</v>
      </c>
      <c r="D5" s="10" t="s">
        <v>30</v>
      </c>
      <c r="E5" s="17">
        <v>35</v>
      </c>
      <c r="F5" s="10" t="s">
        <v>31</v>
      </c>
      <c r="G5" s="9" t="s">
        <v>51</v>
      </c>
      <c r="H5" s="10"/>
      <c r="I5" s="10"/>
      <c r="J5" s="11" t="s">
        <v>52</v>
      </c>
      <c r="K5" s="12"/>
      <c r="L5" s="12" t="s">
        <v>30</v>
      </c>
      <c r="M5" s="9" t="s">
        <v>53</v>
      </c>
      <c r="N5" s="19">
        <v>35</v>
      </c>
      <c r="O5" s="12">
        <v>0</v>
      </c>
      <c r="P5" s="19">
        <f t="shared" si="0"/>
        <v>35</v>
      </c>
      <c r="Q5" s="19">
        <f t="shared" si="2"/>
        <v>27</v>
      </c>
      <c r="R5" s="15">
        <f t="shared" si="1"/>
        <v>61</v>
      </c>
      <c r="S5" s="9" t="s">
        <v>54</v>
      </c>
    </row>
    <row r="6" spans="1:19" ht="60">
      <c r="A6" s="7">
        <v>5</v>
      </c>
      <c r="B6" s="8" t="s">
        <v>55</v>
      </c>
      <c r="C6" s="9" t="s">
        <v>56</v>
      </c>
      <c r="D6" s="10" t="s">
        <v>30</v>
      </c>
      <c r="E6" s="17">
        <v>20</v>
      </c>
      <c r="F6" s="10" t="s">
        <v>31</v>
      </c>
      <c r="G6" s="9" t="s">
        <v>57</v>
      </c>
      <c r="H6" s="10"/>
      <c r="I6" s="10"/>
      <c r="J6" s="11" t="s">
        <v>52</v>
      </c>
      <c r="K6" s="12"/>
      <c r="L6" s="12" t="s">
        <v>30</v>
      </c>
      <c r="M6" s="9" t="s">
        <v>53</v>
      </c>
      <c r="N6" s="19">
        <v>20</v>
      </c>
      <c r="O6" s="12">
        <v>0</v>
      </c>
      <c r="P6" s="19">
        <f t="shared" si="0"/>
        <v>20</v>
      </c>
      <c r="Q6" s="19">
        <f t="shared" si="2"/>
        <v>62</v>
      </c>
      <c r="R6" s="15">
        <f t="shared" si="1"/>
        <v>81</v>
      </c>
      <c r="S6" s="9" t="s">
        <v>57</v>
      </c>
    </row>
    <row r="7" spans="1:19" ht="150">
      <c r="A7" s="7">
        <v>6</v>
      </c>
      <c r="B7" s="8" t="s">
        <v>58</v>
      </c>
      <c r="C7" s="9" t="s">
        <v>59</v>
      </c>
      <c r="D7" s="10" t="s">
        <v>30</v>
      </c>
      <c r="E7" s="17">
        <v>35</v>
      </c>
      <c r="F7" s="10" t="s">
        <v>31</v>
      </c>
      <c r="G7" s="9" t="s">
        <v>60</v>
      </c>
      <c r="H7" s="10"/>
      <c r="I7" s="10"/>
      <c r="J7" s="18" t="s">
        <v>61</v>
      </c>
      <c r="K7" s="12"/>
      <c r="L7" s="12" t="s">
        <v>30</v>
      </c>
      <c r="M7" s="9" t="s">
        <v>53</v>
      </c>
      <c r="N7" s="19">
        <v>35</v>
      </c>
      <c r="O7" s="12">
        <v>0</v>
      </c>
      <c r="P7" s="19">
        <f t="shared" si="0"/>
        <v>35</v>
      </c>
      <c r="Q7" s="19">
        <f t="shared" si="2"/>
        <v>82</v>
      </c>
      <c r="R7" s="15">
        <f t="shared" si="1"/>
        <v>116</v>
      </c>
      <c r="S7" s="9" t="s">
        <v>62</v>
      </c>
    </row>
    <row r="8" spans="1:19" ht="45">
      <c r="A8" s="7">
        <v>7</v>
      </c>
      <c r="B8" s="8" t="s">
        <v>63</v>
      </c>
      <c r="C8" s="9" t="s">
        <v>64</v>
      </c>
      <c r="D8" s="10" t="s">
        <v>30</v>
      </c>
      <c r="E8" s="17">
        <v>15</v>
      </c>
      <c r="F8" s="10" t="s">
        <v>65</v>
      </c>
      <c r="G8" s="21" t="s">
        <v>48</v>
      </c>
      <c r="H8" s="10"/>
      <c r="I8" s="10"/>
      <c r="J8" s="11" t="s">
        <v>66</v>
      </c>
      <c r="K8" s="12"/>
      <c r="L8" s="12" t="s">
        <v>30</v>
      </c>
      <c r="M8" s="9" t="s">
        <v>53</v>
      </c>
      <c r="N8" s="19">
        <v>15</v>
      </c>
      <c r="O8" s="12">
        <v>0</v>
      </c>
      <c r="P8" s="19">
        <f t="shared" si="0"/>
        <v>15</v>
      </c>
      <c r="Q8" s="19">
        <f t="shared" si="2"/>
        <v>117</v>
      </c>
      <c r="R8" s="15">
        <f t="shared" si="1"/>
        <v>131</v>
      </c>
      <c r="S8" s="16" t="s">
        <v>48</v>
      </c>
    </row>
    <row r="9" spans="1:19" ht="90">
      <c r="A9" s="7">
        <v>8</v>
      </c>
      <c r="B9" s="8" t="s">
        <v>67</v>
      </c>
      <c r="C9" s="9" t="s">
        <v>68</v>
      </c>
      <c r="D9" s="10" t="s">
        <v>45</v>
      </c>
      <c r="E9" s="17">
        <v>8</v>
      </c>
      <c r="F9" s="10" t="s">
        <v>31</v>
      </c>
      <c r="G9" s="9" t="s">
        <v>69</v>
      </c>
      <c r="H9" s="10"/>
      <c r="I9" s="10"/>
      <c r="J9" s="11" t="s">
        <v>70</v>
      </c>
      <c r="K9" s="12"/>
      <c r="L9" s="12" t="s">
        <v>45</v>
      </c>
      <c r="M9" s="9" t="s">
        <v>71</v>
      </c>
      <c r="N9" s="19">
        <v>8</v>
      </c>
      <c r="O9" s="12">
        <v>0</v>
      </c>
      <c r="P9" s="19">
        <f t="shared" si="0"/>
        <v>8</v>
      </c>
      <c r="Q9" s="19">
        <f t="shared" si="2"/>
        <v>132</v>
      </c>
      <c r="R9" s="15">
        <f t="shared" si="1"/>
        <v>139</v>
      </c>
      <c r="S9" s="9" t="s">
        <v>72</v>
      </c>
    </row>
    <row r="10" spans="1:19" ht="120">
      <c r="A10" s="7">
        <v>9</v>
      </c>
      <c r="B10" s="8" t="s">
        <v>73</v>
      </c>
      <c r="C10" s="9" t="s">
        <v>74</v>
      </c>
      <c r="D10" s="10" t="s">
        <v>30</v>
      </c>
      <c r="E10" s="17">
        <v>4</v>
      </c>
      <c r="F10" s="10" t="s">
        <v>31</v>
      </c>
      <c r="G10" s="9" t="s">
        <v>75</v>
      </c>
      <c r="H10" s="9" t="s">
        <v>76</v>
      </c>
      <c r="I10" s="9" t="s">
        <v>77</v>
      </c>
      <c r="J10" s="11" t="s">
        <v>78</v>
      </c>
      <c r="K10" s="12"/>
      <c r="L10" s="12" t="s">
        <v>30</v>
      </c>
      <c r="M10" s="9" t="s">
        <v>79</v>
      </c>
      <c r="N10" s="19">
        <v>4</v>
      </c>
      <c r="O10" s="12">
        <v>0</v>
      </c>
      <c r="P10" s="19">
        <f t="shared" si="0"/>
        <v>4</v>
      </c>
      <c r="Q10" s="19">
        <f t="shared" si="2"/>
        <v>140</v>
      </c>
      <c r="R10" s="15">
        <f t="shared" si="1"/>
        <v>143</v>
      </c>
      <c r="S10" s="9" t="s">
        <v>80</v>
      </c>
    </row>
    <row r="11" spans="1:19" ht="135">
      <c r="A11" s="7">
        <v>10</v>
      </c>
      <c r="B11" s="8" t="s">
        <v>81</v>
      </c>
      <c r="C11" s="9" t="s">
        <v>82</v>
      </c>
      <c r="D11" s="10" t="s">
        <v>45</v>
      </c>
      <c r="E11" s="17">
        <v>3</v>
      </c>
      <c r="F11" s="10" t="s">
        <v>31</v>
      </c>
      <c r="G11" s="9" t="s">
        <v>83</v>
      </c>
      <c r="H11" s="9" t="s">
        <v>84</v>
      </c>
      <c r="I11" s="9" t="s">
        <v>85</v>
      </c>
      <c r="J11" s="11" t="s">
        <v>86</v>
      </c>
      <c r="K11" s="12"/>
      <c r="L11" s="12" t="s">
        <v>45</v>
      </c>
      <c r="M11" s="9" t="s">
        <v>87</v>
      </c>
      <c r="N11" s="19">
        <v>3</v>
      </c>
      <c r="O11" s="12">
        <v>0</v>
      </c>
      <c r="P11" s="19">
        <f t="shared" si="0"/>
        <v>3</v>
      </c>
      <c r="Q11" s="19">
        <f t="shared" si="2"/>
        <v>144</v>
      </c>
      <c r="R11" s="15">
        <f t="shared" si="1"/>
        <v>146</v>
      </c>
      <c r="S11" s="9" t="s">
        <v>88</v>
      </c>
    </row>
    <row r="12" spans="1:19" ht="90">
      <c r="A12" s="7">
        <v>11</v>
      </c>
      <c r="B12" s="8" t="s">
        <v>89</v>
      </c>
      <c r="C12" s="9" t="s">
        <v>90</v>
      </c>
      <c r="D12" s="10" t="s">
        <v>30</v>
      </c>
      <c r="E12" s="17">
        <v>1</v>
      </c>
      <c r="F12" s="10" t="s">
        <v>31</v>
      </c>
      <c r="G12" s="9" t="s">
        <v>91</v>
      </c>
      <c r="H12" s="10"/>
      <c r="I12" s="10"/>
      <c r="J12" s="11" t="s">
        <v>92</v>
      </c>
      <c r="K12" s="12"/>
      <c r="L12" s="12" t="s">
        <v>30</v>
      </c>
      <c r="M12" s="9" t="s">
        <v>93</v>
      </c>
      <c r="N12" s="19">
        <v>1</v>
      </c>
      <c r="O12" s="12">
        <v>0</v>
      </c>
      <c r="P12" s="19">
        <f t="shared" si="0"/>
        <v>1</v>
      </c>
      <c r="Q12" s="19">
        <f t="shared" si="2"/>
        <v>147</v>
      </c>
      <c r="R12" s="15">
        <f t="shared" si="1"/>
        <v>147</v>
      </c>
      <c r="S12" s="9" t="s">
        <v>91</v>
      </c>
    </row>
    <row r="13" spans="1:19" ht="75">
      <c r="A13" s="7">
        <v>12</v>
      </c>
      <c r="B13" s="8" t="s">
        <v>94</v>
      </c>
      <c r="C13" s="9" t="s">
        <v>95</v>
      </c>
      <c r="D13" s="10" t="s">
        <v>30</v>
      </c>
      <c r="E13" s="17">
        <v>1</v>
      </c>
      <c r="F13" s="10" t="s">
        <v>31</v>
      </c>
      <c r="G13" s="9" t="s">
        <v>96</v>
      </c>
      <c r="H13" s="10"/>
      <c r="I13" s="10"/>
      <c r="J13" s="11" t="s">
        <v>97</v>
      </c>
      <c r="K13" s="142" t="s">
        <v>98</v>
      </c>
      <c r="L13" s="12" t="s">
        <v>30</v>
      </c>
      <c r="M13" s="9" t="s">
        <v>99</v>
      </c>
      <c r="N13" s="19">
        <v>1</v>
      </c>
      <c r="O13" s="12">
        <v>0</v>
      </c>
      <c r="P13" s="19">
        <f t="shared" si="0"/>
        <v>1</v>
      </c>
      <c r="Q13" s="19">
        <f t="shared" si="2"/>
        <v>148</v>
      </c>
      <c r="R13" s="15">
        <f t="shared" si="1"/>
        <v>148</v>
      </c>
      <c r="S13" s="9" t="s">
        <v>100</v>
      </c>
    </row>
    <row r="14" spans="1:19" ht="150">
      <c r="A14" s="7">
        <v>13</v>
      </c>
      <c r="B14" s="8" t="s">
        <v>101</v>
      </c>
      <c r="C14" s="9" t="s">
        <v>102</v>
      </c>
      <c r="D14" s="10" t="s">
        <v>30</v>
      </c>
      <c r="E14" s="17">
        <v>1</v>
      </c>
      <c r="F14" s="10" t="s">
        <v>31</v>
      </c>
      <c r="G14" s="9" t="s">
        <v>103</v>
      </c>
      <c r="H14" s="9" t="s">
        <v>104</v>
      </c>
      <c r="I14" s="9" t="s">
        <v>105</v>
      </c>
      <c r="J14" s="11" t="s">
        <v>106</v>
      </c>
      <c r="K14" s="142"/>
      <c r="L14" s="12" t="s">
        <v>30</v>
      </c>
      <c r="M14" s="21" t="s">
        <v>107</v>
      </c>
      <c r="N14" s="19">
        <v>1</v>
      </c>
      <c r="O14" s="12">
        <v>0</v>
      </c>
      <c r="P14" s="19">
        <f t="shared" si="0"/>
        <v>1</v>
      </c>
      <c r="Q14" s="19">
        <f t="shared" si="2"/>
        <v>149</v>
      </c>
      <c r="R14" s="15">
        <f t="shared" si="1"/>
        <v>149</v>
      </c>
      <c r="S14" s="9" t="s">
        <v>108</v>
      </c>
    </row>
    <row r="15" spans="1:19" ht="90">
      <c r="A15" s="7">
        <v>14</v>
      </c>
      <c r="B15" s="8" t="s">
        <v>109</v>
      </c>
      <c r="C15" s="9" t="s">
        <v>110</v>
      </c>
      <c r="D15" s="10" t="s">
        <v>30</v>
      </c>
      <c r="E15" s="17">
        <v>1</v>
      </c>
      <c r="F15" s="10" t="s">
        <v>31</v>
      </c>
      <c r="G15" s="9" t="s">
        <v>111</v>
      </c>
      <c r="H15" s="10"/>
      <c r="I15" s="10"/>
      <c r="J15" s="18" t="s">
        <v>112</v>
      </c>
      <c r="K15" s="22" t="s">
        <v>113</v>
      </c>
      <c r="L15" s="12" t="s">
        <v>30</v>
      </c>
      <c r="M15" s="9" t="s">
        <v>114</v>
      </c>
      <c r="N15" s="19">
        <v>1</v>
      </c>
      <c r="O15" s="12">
        <v>0</v>
      </c>
      <c r="P15" s="19">
        <f t="shared" si="0"/>
        <v>1</v>
      </c>
      <c r="Q15" s="19">
        <f t="shared" si="2"/>
        <v>150</v>
      </c>
      <c r="R15" s="15">
        <f t="shared" si="1"/>
        <v>150</v>
      </c>
      <c r="S15" s="9" t="s">
        <v>115</v>
      </c>
    </row>
    <row r="16" spans="1:19" ht="135">
      <c r="A16" s="7">
        <v>15</v>
      </c>
      <c r="B16" s="8" t="s">
        <v>116</v>
      </c>
      <c r="C16" s="9" t="s">
        <v>117</v>
      </c>
      <c r="D16" s="10" t="s">
        <v>30</v>
      </c>
      <c r="E16" s="17">
        <v>1</v>
      </c>
      <c r="F16" s="10" t="s">
        <v>31</v>
      </c>
      <c r="G16" s="9" t="s">
        <v>118</v>
      </c>
      <c r="H16" s="9" t="s">
        <v>84</v>
      </c>
      <c r="I16" s="9" t="s">
        <v>85</v>
      </c>
      <c r="J16" s="11" t="s">
        <v>119</v>
      </c>
      <c r="K16" s="12"/>
      <c r="L16" s="12" t="s">
        <v>30</v>
      </c>
      <c r="M16" s="21" t="s">
        <v>120</v>
      </c>
      <c r="N16" s="19">
        <v>1</v>
      </c>
      <c r="O16" s="12">
        <v>0</v>
      </c>
      <c r="P16" s="19">
        <f t="shared" si="0"/>
        <v>1</v>
      </c>
      <c r="Q16" s="19">
        <f t="shared" si="2"/>
        <v>151</v>
      </c>
      <c r="R16" s="15">
        <f t="shared" si="1"/>
        <v>151</v>
      </c>
      <c r="S16" s="23" t="s">
        <v>121</v>
      </c>
    </row>
    <row r="17" spans="1:19" ht="135">
      <c r="A17" s="7">
        <v>16</v>
      </c>
      <c r="B17" s="8" t="s">
        <v>122</v>
      </c>
      <c r="C17" s="9" t="s">
        <v>123</v>
      </c>
      <c r="D17" s="10" t="s">
        <v>45</v>
      </c>
      <c r="E17" s="17">
        <v>11</v>
      </c>
      <c r="F17" s="10" t="s">
        <v>31</v>
      </c>
      <c r="G17" s="9" t="s">
        <v>124</v>
      </c>
      <c r="H17" s="9"/>
      <c r="I17" s="9" t="s">
        <v>125</v>
      </c>
      <c r="J17" s="18" t="s">
        <v>126</v>
      </c>
      <c r="K17" s="12"/>
      <c r="L17" s="13" t="s">
        <v>45</v>
      </c>
      <c r="M17" s="9" t="s">
        <v>127</v>
      </c>
      <c r="N17" s="15">
        <v>11</v>
      </c>
      <c r="O17" s="13">
        <v>0</v>
      </c>
      <c r="P17" s="15">
        <f t="shared" si="0"/>
        <v>11</v>
      </c>
      <c r="Q17" s="19">
        <f t="shared" si="2"/>
        <v>152</v>
      </c>
      <c r="R17" s="15">
        <f t="shared" si="1"/>
        <v>162</v>
      </c>
      <c r="S17" s="9" t="s">
        <v>128</v>
      </c>
    </row>
    <row r="18" spans="1:19" ht="210">
      <c r="A18" s="7">
        <v>17</v>
      </c>
      <c r="B18" s="8" t="s">
        <v>129</v>
      </c>
      <c r="C18" s="9" t="s">
        <v>130</v>
      </c>
      <c r="D18" s="10" t="s">
        <v>30</v>
      </c>
      <c r="E18" s="17">
        <v>2</v>
      </c>
      <c r="F18" s="10" t="s">
        <v>31</v>
      </c>
      <c r="G18" s="9" t="s">
        <v>131</v>
      </c>
      <c r="H18" s="9" t="s">
        <v>132</v>
      </c>
      <c r="I18" s="9" t="s">
        <v>133</v>
      </c>
      <c r="J18" s="18" t="s">
        <v>134</v>
      </c>
      <c r="K18" s="115" t="s">
        <v>135</v>
      </c>
      <c r="L18" s="12" t="s">
        <v>30</v>
      </c>
      <c r="M18" s="16" t="s">
        <v>136</v>
      </c>
      <c r="N18" s="19">
        <v>2</v>
      </c>
      <c r="O18" s="12">
        <v>0</v>
      </c>
      <c r="P18" s="19">
        <f t="shared" si="0"/>
        <v>2</v>
      </c>
      <c r="Q18" s="19">
        <f t="shared" si="2"/>
        <v>163</v>
      </c>
      <c r="R18" s="15">
        <f t="shared" si="1"/>
        <v>164</v>
      </c>
      <c r="S18" s="24" t="s">
        <v>137</v>
      </c>
    </row>
    <row r="19" spans="1:19" ht="210">
      <c r="A19" s="7">
        <v>18</v>
      </c>
      <c r="B19" s="8" t="s">
        <v>138</v>
      </c>
      <c r="C19" s="9" t="s">
        <v>139</v>
      </c>
      <c r="D19" s="10" t="s">
        <v>30</v>
      </c>
      <c r="E19" s="17" t="s">
        <v>140</v>
      </c>
      <c r="F19" s="10" t="s">
        <v>31</v>
      </c>
      <c r="G19" s="9" t="s">
        <v>141</v>
      </c>
      <c r="H19" s="9" t="s">
        <v>132</v>
      </c>
      <c r="I19" s="9" t="s">
        <v>133</v>
      </c>
      <c r="J19" s="18" t="s">
        <v>142</v>
      </c>
      <c r="K19" s="115"/>
      <c r="L19" s="12" t="s">
        <v>30</v>
      </c>
      <c r="M19" s="16" t="s">
        <v>136</v>
      </c>
      <c r="N19" s="19">
        <v>2</v>
      </c>
      <c r="O19" s="12">
        <v>0</v>
      </c>
      <c r="P19" s="19">
        <f t="shared" si="0"/>
        <v>2</v>
      </c>
      <c r="Q19" s="19">
        <f t="shared" si="2"/>
        <v>165</v>
      </c>
      <c r="R19" s="15">
        <f t="shared" si="1"/>
        <v>166</v>
      </c>
      <c r="S19" s="24" t="s">
        <v>143</v>
      </c>
    </row>
    <row r="20" spans="1:19" ht="90">
      <c r="A20" s="7">
        <v>19</v>
      </c>
      <c r="B20" s="8" t="s">
        <v>144</v>
      </c>
      <c r="C20" s="21" t="s">
        <v>145</v>
      </c>
      <c r="D20" s="10" t="s">
        <v>30</v>
      </c>
      <c r="E20" s="17">
        <v>1</v>
      </c>
      <c r="F20" s="10" t="s">
        <v>31</v>
      </c>
      <c r="G20" s="21" t="s">
        <v>146</v>
      </c>
      <c r="H20" s="10"/>
      <c r="I20" s="10"/>
      <c r="J20" s="11" t="s">
        <v>147</v>
      </c>
      <c r="K20" s="12"/>
      <c r="L20" s="12" t="s">
        <v>30</v>
      </c>
      <c r="M20" s="16" t="s">
        <v>148</v>
      </c>
      <c r="N20" s="19">
        <v>1</v>
      </c>
      <c r="O20" s="12">
        <v>0</v>
      </c>
      <c r="P20" s="19">
        <f t="shared" si="0"/>
        <v>1</v>
      </c>
      <c r="Q20" s="19">
        <f t="shared" si="2"/>
        <v>167</v>
      </c>
      <c r="R20" s="15">
        <f t="shared" si="1"/>
        <v>167</v>
      </c>
      <c r="S20" s="16" t="s">
        <v>146</v>
      </c>
    </row>
    <row r="21" spans="1:19" ht="255">
      <c r="A21" s="7">
        <v>20</v>
      </c>
      <c r="B21" s="8" t="s">
        <v>149</v>
      </c>
      <c r="C21" s="9" t="s">
        <v>150</v>
      </c>
      <c r="D21" s="10" t="s">
        <v>45</v>
      </c>
      <c r="E21" s="17" t="s">
        <v>151</v>
      </c>
      <c r="F21" s="10" t="s">
        <v>31</v>
      </c>
      <c r="G21" s="9" t="s">
        <v>152</v>
      </c>
      <c r="H21" s="10"/>
      <c r="I21" s="10"/>
      <c r="J21" s="11" t="s">
        <v>153</v>
      </c>
      <c r="K21" s="143"/>
      <c r="L21" s="12" t="s">
        <v>45</v>
      </c>
      <c r="M21" s="9" t="s">
        <v>154</v>
      </c>
      <c r="N21" s="19">
        <v>2</v>
      </c>
      <c r="O21" s="12">
        <v>5</v>
      </c>
      <c r="P21" s="19">
        <f t="shared" si="0"/>
        <v>7</v>
      </c>
      <c r="Q21" s="19">
        <f t="shared" si="2"/>
        <v>168</v>
      </c>
      <c r="R21" s="15">
        <f t="shared" si="1"/>
        <v>174</v>
      </c>
      <c r="S21" s="11" t="s">
        <v>155</v>
      </c>
    </row>
    <row r="22" spans="1:19" ht="180">
      <c r="A22" s="7">
        <v>21</v>
      </c>
      <c r="B22" s="8" t="s">
        <v>156</v>
      </c>
      <c r="C22" s="9" t="s">
        <v>157</v>
      </c>
      <c r="D22" s="10" t="s">
        <v>45</v>
      </c>
      <c r="E22" s="17" t="s">
        <v>158</v>
      </c>
      <c r="F22" s="10" t="s">
        <v>31</v>
      </c>
      <c r="G22" s="9" t="s">
        <v>159</v>
      </c>
      <c r="H22" s="10"/>
      <c r="I22" s="10"/>
      <c r="J22" s="11" t="s">
        <v>153</v>
      </c>
      <c r="K22" s="143"/>
      <c r="L22" s="12" t="s">
        <v>45</v>
      </c>
      <c r="M22" s="9" t="s">
        <v>154</v>
      </c>
      <c r="N22" s="19">
        <v>3</v>
      </c>
      <c r="O22" s="12">
        <v>5</v>
      </c>
      <c r="P22" s="19">
        <f t="shared" si="0"/>
        <v>8</v>
      </c>
      <c r="Q22" s="19">
        <f t="shared" si="2"/>
        <v>175</v>
      </c>
      <c r="R22" s="15">
        <f t="shared" si="1"/>
        <v>182</v>
      </c>
      <c r="S22" s="11" t="s">
        <v>160</v>
      </c>
    </row>
    <row r="23" spans="1:19" ht="165">
      <c r="A23" s="7">
        <v>22</v>
      </c>
      <c r="B23" s="8" t="s">
        <v>161</v>
      </c>
      <c r="C23" s="9" t="s">
        <v>162</v>
      </c>
      <c r="D23" s="10" t="s">
        <v>45</v>
      </c>
      <c r="E23" s="17" t="s">
        <v>158</v>
      </c>
      <c r="F23" s="10" t="s">
        <v>31</v>
      </c>
      <c r="G23" s="9" t="s">
        <v>163</v>
      </c>
      <c r="H23" s="10"/>
      <c r="I23" s="10"/>
      <c r="J23" s="11" t="s">
        <v>153</v>
      </c>
      <c r="K23" s="143"/>
      <c r="L23" s="12" t="s">
        <v>45</v>
      </c>
      <c r="M23" s="9" t="s">
        <v>164</v>
      </c>
      <c r="N23" s="19">
        <v>3</v>
      </c>
      <c r="O23" s="12">
        <v>5</v>
      </c>
      <c r="P23" s="19">
        <f t="shared" si="0"/>
        <v>8</v>
      </c>
      <c r="Q23" s="19">
        <f t="shared" si="2"/>
        <v>183</v>
      </c>
      <c r="R23" s="15">
        <f t="shared" si="1"/>
        <v>190</v>
      </c>
      <c r="S23" s="9" t="s">
        <v>165</v>
      </c>
    </row>
    <row r="24" spans="1:19" ht="150">
      <c r="A24" s="7">
        <v>23</v>
      </c>
      <c r="B24" s="8" t="s">
        <v>166</v>
      </c>
      <c r="C24" s="9" t="s">
        <v>167</v>
      </c>
      <c r="D24" s="10" t="s">
        <v>45</v>
      </c>
      <c r="E24" s="17" t="s">
        <v>158</v>
      </c>
      <c r="F24" s="10" t="s">
        <v>31</v>
      </c>
      <c r="G24" s="9" t="s">
        <v>168</v>
      </c>
      <c r="H24" s="10"/>
      <c r="I24" s="10"/>
      <c r="J24" s="11" t="s">
        <v>153</v>
      </c>
      <c r="K24" s="143"/>
      <c r="L24" s="12" t="s">
        <v>45</v>
      </c>
      <c r="M24" s="16" t="s">
        <v>169</v>
      </c>
      <c r="N24" s="19">
        <v>3</v>
      </c>
      <c r="O24" s="12">
        <v>5</v>
      </c>
      <c r="P24" s="19">
        <f t="shared" si="0"/>
        <v>8</v>
      </c>
      <c r="Q24" s="19">
        <f t="shared" si="2"/>
        <v>191</v>
      </c>
      <c r="R24" s="15">
        <f t="shared" si="1"/>
        <v>198</v>
      </c>
      <c r="S24" s="9" t="s">
        <v>170</v>
      </c>
    </row>
    <row r="25" spans="1:19" ht="75">
      <c r="A25" s="7">
        <v>24</v>
      </c>
      <c r="B25" s="8" t="s">
        <v>171</v>
      </c>
      <c r="C25" s="9" t="s">
        <v>172</v>
      </c>
      <c r="D25" s="10" t="s">
        <v>45</v>
      </c>
      <c r="E25" s="17">
        <v>3</v>
      </c>
      <c r="F25" s="10" t="s">
        <v>31</v>
      </c>
      <c r="G25" s="9" t="s">
        <v>173</v>
      </c>
      <c r="H25" s="9" t="s">
        <v>174</v>
      </c>
      <c r="I25" s="9" t="s">
        <v>175</v>
      </c>
      <c r="J25" s="11" t="s">
        <v>176</v>
      </c>
      <c r="K25" s="25"/>
      <c r="L25" s="26" t="s">
        <v>45</v>
      </c>
      <c r="M25" s="27" t="s">
        <v>177</v>
      </c>
      <c r="N25" s="28">
        <v>3</v>
      </c>
      <c r="O25" s="26">
        <v>0</v>
      </c>
      <c r="P25" s="28">
        <f t="shared" si="0"/>
        <v>3</v>
      </c>
      <c r="Q25" s="28">
        <f t="shared" si="2"/>
        <v>199</v>
      </c>
      <c r="R25" s="29">
        <f t="shared" si="1"/>
        <v>201</v>
      </c>
      <c r="S25" s="27" t="s">
        <v>178</v>
      </c>
    </row>
    <row r="26" spans="1:19" ht="75">
      <c r="A26" s="7">
        <v>25</v>
      </c>
      <c r="B26" s="8" t="s">
        <v>179</v>
      </c>
      <c r="C26" s="9" t="s">
        <v>180</v>
      </c>
      <c r="D26" s="10" t="s">
        <v>45</v>
      </c>
      <c r="E26" s="17">
        <v>3</v>
      </c>
      <c r="F26" s="10" t="s">
        <v>31</v>
      </c>
      <c r="G26" s="9">
        <v>365</v>
      </c>
      <c r="H26" s="10"/>
      <c r="I26" s="10"/>
      <c r="J26" s="11" t="s">
        <v>176</v>
      </c>
      <c r="K26" s="30"/>
      <c r="L26" s="12" t="s">
        <v>45</v>
      </c>
      <c r="M26" s="9">
        <v>365</v>
      </c>
      <c r="N26" s="19">
        <v>3</v>
      </c>
      <c r="O26" s="12">
        <v>0</v>
      </c>
      <c r="P26" s="19">
        <f t="shared" si="0"/>
        <v>3</v>
      </c>
      <c r="Q26" s="19">
        <f t="shared" si="2"/>
        <v>202</v>
      </c>
      <c r="R26" s="15">
        <f t="shared" si="1"/>
        <v>204</v>
      </c>
      <c r="S26" s="9" t="s">
        <v>181</v>
      </c>
    </row>
    <row r="27" spans="1:19" ht="165">
      <c r="A27" s="7">
        <v>26</v>
      </c>
      <c r="B27" s="8" t="s">
        <v>182</v>
      </c>
      <c r="C27" s="9" t="s">
        <v>183</v>
      </c>
      <c r="D27" s="10" t="s">
        <v>45</v>
      </c>
      <c r="E27" s="17">
        <v>5</v>
      </c>
      <c r="F27" s="10" t="s">
        <v>31</v>
      </c>
      <c r="G27" s="9" t="s">
        <v>184</v>
      </c>
      <c r="H27" s="10"/>
      <c r="I27" s="10"/>
      <c r="J27" s="18" t="s">
        <v>185</v>
      </c>
      <c r="K27" s="12"/>
      <c r="L27" s="12" t="s">
        <v>45</v>
      </c>
      <c r="M27" s="9" t="s">
        <v>154</v>
      </c>
      <c r="N27" s="19">
        <v>5</v>
      </c>
      <c r="O27" s="12">
        <v>0</v>
      </c>
      <c r="P27" s="19">
        <f t="shared" si="0"/>
        <v>5</v>
      </c>
      <c r="Q27" s="19">
        <f t="shared" si="2"/>
        <v>205</v>
      </c>
      <c r="R27" s="15">
        <f t="shared" si="1"/>
        <v>209</v>
      </c>
      <c r="S27" s="9" t="s">
        <v>186</v>
      </c>
    </row>
    <row r="28" spans="1:19" ht="45">
      <c r="A28" s="7">
        <v>27</v>
      </c>
      <c r="B28" s="8" t="s">
        <v>187</v>
      </c>
      <c r="C28" s="21" t="s">
        <v>188</v>
      </c>
      <c r="D28" s="10" t="s">
        <v>30</v>
      </c>
      <c r="E28" s="17">
        <v>1</v>
      </c>
      <c r="F28" s="10" t="s">
        <v>31</v>
      </c>
      <c r="G28" s="21" t="s">
        <v>146</v>
      </c>
      <c r="H28" s="10"/>
      <c r="I28" s="10"/>
      <c r="J28" s="11" t="s">
        <v>147</v>
      </c>
      <c r="K28" s="12"/>
      <c r="L28" s="12" t="s">
        <v>30</v>
      </c>
      <c r="M28" s="16" t="s">
        <v>148</v>
      </c>
      <c r="N28" s="19">
        <v>1</v>
      </c>
      <c r="O28" s="12">
        <v>0</v>
      </c>
      <c r="P28" s="19">
        <f t="shared" si="0"/>
        <v>1</v>
      </c>
      <c r="Q28" s="19">
        <f t="shared" si="2"/>
        <v>210</v>
      </c>
      <c r="R28" s="15">
        <f t="shared" si="1"/>
        <v>210</v>
      </c>
      <c r="S28" s="16" t="s">
        <v>146</v>
      </c>
    </row>
    <row r="29" spans="1:19" ht="165">
      <c r="A29" s="7">
        <v>28</v>
      </c>
      <c r="B29" s="31" t="s">
        <v>189</v>
      </c>
      <c r="C29" s="32" t="s">
        <v>190</v>
      </c>
      <c r="D29" s="33" t="s">
        <v>45</v>
      </c>
      <c r="E29" s="34" t="s">
        <v>191</v>
      </c>
      <c r="F29" s="33" t="s">
        <v>31</v>
      </c>
      <c r="G29" s="32" t="s">
        <v>192</v>
      </c>
      <c r="H29" s="33"/>
      <c r="I29" s="33"/>
      <c r="J29" s="18" t="s">
        <v>193</v>
      </c>
      <c r="K29" s="35"/>
      <c r="L29" s="12" t="s">
        <v>45</v>
      </c>
      <c r="M29" s="9" t="s">
        <v>154</v>
      </c>
      <c r="N29" s="19">
        <v>12</v>
      </c>
      <c r="O29" s="12">
        <v>2</v>
      </c>
      <c r="P29" s="19">
        <f t="shared" si="0"/>
        <v>14</v>
      </c>
      <c r="Q29" s="19">
        <f t="shared" si="2"/>
        <v>211</v>
      </c>
      <c r="R29" s="15">
        <f t="shared" si="1"/>
        <v>224</v>
      </c>
      <c r="S29" s="9" t="s">
        <v>192</v>
      </c>
    </row>
    <row r="30" spans="1:19" ht="60">
      <c r="A30" s="7">
        <v>29</v>
      </c>
      <c r="B30" s="8" t="s">
        <v>194</v>
      </c>
      <c r="C30" s="21" t="s">
        <v>195</v>
      </c>
      <c r="D30" s="10" t="s">
        <v>30</v>
      </c>
      <c r="E30" s="17">
        <v>1</v>
      </c>
      <c r="F30" s="10" t="s">
        <v>31</v>
      </c>
      <c r="G30" s="21" t="s">
        <v>146</v>
      </c>
      <c r="H30" s="10"/>
      <c r="I30" s="10"/>
      <c r="J30" s="11" t="s">
        <v>147</v>
      </c>
      <c r="K30" s="12"/>
      <c r="L30" s="12" t="s">
        <v>30</v>
      </c>
      <c r="M30" s="16" t="s">
        <v>148</v>
      </c>
      <c r="N30" s="19">
        <v>1</v>
      </c>
      <c r="O30" s="12">
        <v>0</v>
      </c>
      <c r="P30" s="19">
        <f t="shared" si="0"/>
        <v>1</v>
      </c>
      <c r="Q30" s="19">
        <f t="shared" si="2"/>
        <v>225</v>
      </c>
      <c r="R30" s="15">
        <f t="shared" si="1"/>
        <v>225</v>
      </c>
      <c r="S30" s="16" t="s">
        <v>146</v>
      </c>
    </row>
    <row r="31" spans="1:19" ht="210">
      <c r="A31" s="7">
        <v>30</v>
      </c>
      <c r="B31" s="31" t="s">
        <v>196</v>
      </c>
      <c r="C31" s="32" t="s">
        <v>197</v>
      </c>
      <c r="D31" s="33" t="s">
        <v>45</v>
      </c>
      <c r="E31" s="34" t="s">
        <v>191</v>
      </c>
      <c r="F31" s="33" t="s">
        <v>31</v>
      </c>
      <c r="G31" s="32" t="s">
        <v>198</v>
      </c>
      <c r="H31" s="33"/>
      <c r="I31" s="33"/>
      <c r="J31" s="18" t="s">
        <v>199</v>
      </c>
      <c r="K31" s="35"/>
      <c r="L31" s="13" t="s">
        <v>45</v>
      </c>
      <c r="M31" s="9" t="s">
        <v>154</v>
      </c>
      <c r="N31" s="15">
        <v>12</v>
      </c>
      <c r="O31" s="13">
        <v>2</v>
      </c>
      <c r="P31" s="15">
        <f t="shared" si="0"/>
        <v>14</v>
      </c>
      <c r="Q31" s="19">
        <f t="shared" si="2"/>
        <v>226</v>
      </c>
      <c r="R31" s="15">
        <f t="shared" si="1"/>
        <v>239</v>
      </c>
      <c r="S31" s="9" t="s">
        <v>198</v>
      </c>
    </row>
    <row r="32" spans="1:19" ht="60">
      <c r="A32" s="7">
        <v>31</v>
      </c>
      <c r="B32" s="8" t="s">
        <v>200</v>
      </c>
      <c r="C32" s="21" t="s">
        <v>201</v>
      </c>
      <c r="D32" s="10" t="s">
        <v>30</v>
      </c>
      <c r="E32" s="17">
        <v>1</v>
      </c>
      <c r="F32" s="10" t="s">
        <v>31</v>
      </c>
      <c r="G32" s="21" t="s">
        <v>146</v>
      </c>
      <c r="H32" s="10"/>
      <c r="I32" s="10"/>
      <c r="J32" s="11" t="s">
        <v>147</v>
      </c>
      <c r="K32" s="13"/>
      <c r="L32" s="12" t="s">
        <v>30</v>
      </c>
      <c r="M32" s="16" t="s">
        <v>148</v>
      </c>
      <c r="N32" s="19">
        <v>1</v>
      </c>
      <c r="O32" s="12">
        <v>0</v>
      </c>
      <c r="P32" s="19">
        <f t="shared" si="0"/>
        <v>1</v>
      </c>
      <c r="Q32" s="19">
        <f t="shared" si="2"/>
        <v>240</v>
      </c>
      <c r="R32" s="15">
        <f t="shared" si="1"/>
        <v>240</v>
      </c>
      <c r="S32" s="16" t="s">
        <v>146</v>
      </c>
    </row>
    <row r="33" spans="1:19" ht="150">
      <c r="A33" s="7">
        <v>32</v>
      </c>
      <c r="B33" s="31" t="s">
        <v>202</v>
      </c>
      <c r="C33" s="32" t="s">
        <v>203</v>
      </c>
      <c r="D33" s="33" t="s">
        <v>45</v>
      </c>
      <c r="E33" s="34" t="s">
        <v>191</v>
      </c>
      <c r="F33" s="33" t="s">
        <v>31</v>
      </c>
      <c r="G33" s="32" t="s">
        <v>204</v>
      </c>
      <c r="H33" s="33"/>
      <c r="I33" s="33"/>
      <c r="J33" s="18" t="s">
        <v>205</v>
      </c>
      <c r="K33" s="13"/>
      <c r="L33" s="13" t="s">
        <v>45</v>
      </c>
      <c r="M33" s="9" t="s">
        <v>206</v>
      </c>
      <c r="N33" s="15">
        <v>12</v>
      </c>
      <c r="O33" s="13">
        <v>2</v>
      </c>
      <c r="P33" s="15">
        <f t="shared" si="0"/>
        <v>14</v>
      </c>
      <c r="Q33" s="19">
        <f t="shared" si="2"/>
        <v>241</v>
      </c>
      <c r="R33" s="15">
        <f t="shared" si="1"/>
        <v>254</v>
      </c>
      <c r="S33" s="9" t="s">
        <v>207</v>
      </c>
    </row>
    <row r="34" spans="1:19" ht="60">
      <c r="A34" s="7">
        <v>33</v>
      </c>
      <c r="B34" s="8" t="s">
        <v>208</v>
      </c>
      <c r="C34" s="21" t="s">
        <v>209</v>
      </c>
      <c r="D34" s="10" t="s">
        <v>30</v>
      </c>
      <c r="E34" s="17">
        <v>1</v>
      </c>
      <c r="F34" s="10" t="s">
        <v>31</v>
      </c>
      <c r="G34" s="21" t="s">
        <v>146</v>
      </c>
      <c r="H34" s="10"/>
      <c r="I34" s="10"/>
      <c r="J34" s="11" t="s">
        <v>147</v>
      </c>
      <c r="K34" s="13"/>
      <c r="L34" s="12" t="s">
        <v>30</v>
      </c>
      <c r="M34" s="16" t="s">
        <v>148</v>
      </c>
      <c r="N34" s="19">
        <v>1</v>
      </c>
      <c r="O34" s="12">
        <v>0</v>
      </c>
      <c r="P34" s="19">
        <f t="shared" si="0"/>
        <v>1</v>
      </c>
      <c r="Q34" s="19">
        <f t="shared" si="2"/>
        <v>255</v>
      </c>
      <c r="R34" s="15">
        <f t="shared" si="1"/>
        <v>255</v>
      </c>
      <c r="S34" s="16" t="s">
        <v>146</v>
      </c>
    </row>
    <row r="35" spans="1:19" ht="195">
      <c r="A35" s="7">
        <v>34</v>
      </c>
      <c r="B35" s="31" t="s">
        <v>210</v>
      </c>
      <c r="C35" s="32" t="s">
        <v>211</v>
      </c>
      <c r="D35" s="33" t="s">
        <v>45</v>
      </c>
      <c r="E35" s="34" t="s">
        <v>191</v>
      </c>
      <c r="F35" s="33" t="s">
        <v>31</v>
      </c>
      <c r="G35" s="32" t="s">
        <v>212</v>
      </c>
      <c r="H35" s="33"/>
      <c r="I35" s="33"/>
      <c r="J35" s="18" t="s">
        <v>213</v>
      </c>
      <c r="K35" s="13"/>
      <c r="L35" s="13" t="s">
        <v>45</v>
      </c>
      <c r="M35" s="9" t="s">
        <v>154</v>
      </c>
      <c r="N35" s="15">
        <v>12</v>
      </c>
      <c r="O35" s="13">
        <v>2</v>
      </c>
      <c r="P35" s="15">
        <f t="shared" si="0"/>
        <v>14</v>
      </c>
      <c r="Q35" s="19">
        <f t="shared" si="2"/>
        <v>256</v>
      </c>
      <c r="R35" s="15" t="s">
        <v>214</v>
      </c>
      <c r="S35" s="36" t="s">
        <v>212</v>
      </c>
    </row>
    <row r="36" spans="1:19" ht="60">
      <c r="A36" s="7">
        <v>35</v>
      </c>
      <c r="B36" s="8" t="s">
        <v>215</v>
      </c>
      <c r="C36" s="21" t="s">
        <v>216</v>
      </c>
      <c r="D36" s="10" t="s">
        <v>30</v>
      </c>
      <c r="E36" s="17">
        <v>1</v>
      </c>
      <c r="F36" s="10" t="s">
        <v>31</v>
      </c>
      <c r="G36" s="21" t="s">
        <v>146</v>
      </c>
      <c r="H36" s="10"/>
      <c r="I36" s="10"/>
      <c r="J36" s="11" t="s">
        <v>147</v>
      </c>
      <c r="K36" s="13"/>
      <c r="L36" s="12" t="s">
        <v>30</v>
      </c>
      <c r="M36" s="16" t="s">
        <v>148</v>
      </c>
      <c r="N36" s="19">
        <v>1</v>
      </c>
      <c r="O36" s="12">
        <v>0</v>
      </c>
      <c r="P36" s="19">
        <f t="shared" si="0"/>
        <v>1</v>
      </c>
      <c r="Q36" s="19" t="e">
        <f t="shared" si="2"/>
        <v>#VALUE!</v>
      </c>
      <c r="R36" s="15" t="e">
        <f t="shared" si="1"/>
        <v>#VALUE!</v>
      </c>
      <c r="S36" s="16" t="s">
        <v>146</v>
      </c>
    </row>
    <row r="37" spans="1:19" ht="195">
      <c r="A37" s="7">
        <v>36</v>
      </c>
      <c r="B37" s="31" t="s">
        <v>217</v>
      </c>
      <c r="C37" s="32" t="s">
        <v>218</v>
      </c>
      <c r="D37" s="33" t="s">
        <v>45</v>
      </c>
      <c r="E37" s="34" t="s">
        <v>191</v>
      </c>
      <c r="F37" s="33" t="s">
        <v>31</v>
      </c>
      <c r="G37" s="32" t="s">
        <v>219</v>
      </c>
      <c r="H37" s="33"/>
      <c r="I37" s="33"/>
      <c r="J37" s="18" t="s">
        <v>220</v>
      </c>
      <c r="K37" s="13"/>
      <c r="L37" s="13" t="s">
        <v>45</v>
      </c>
      <c r="M37" s="9" t="s">
        <v>221</v>
      </c>
      <c r="N37" s="15">
        <v>12</v>
      </c>
      <c r="O37" s="13">
        <v>2</v>
      </c>
      <c r="P37" s="15">
        <f t="shared" si="0"/>
        <v>14</v>
      </c>
      <c r="Q37" s="19" t="e">
        <f t="shared" si="2"/>
        <v>#VALUE!</v>
      </c>
      <c r="R37" s="15" t="e">
        <f t="shared" si="1"/>
        <v>#VALUE!</v>
      </c>
      <c r="S37" s="9" t="s">
        <v>219</v>
      </c>
    </row>
    <row r="38" spans="1:19" ht="105">
      <c r="A38" s="7">
        <v>37</v>
      </c>
      <c r="B38" s="31" t="s">
        <v>222</v>
      </c>
      <c r="C38" s="37" t="s">
        <v>223</v>
      </c>
      <c r="D38" s="33" t="s">
        <v>30</v>
      </c>
      <c r="E38" s="34">
        <v>1</v>
      </c>
      <c r="F38" s="33" t="s">
        <v>31</v>
      </c>
      <c r="G38" s="37" t="s">
        <v>224</v>
      </c>
      <c r="H38" s="33"/>
      <c r="I38" s="33"/>
      <c r="J38" s="11" t="s">
        <v>147</v>
      </c>
      <c r="K38" s="144" t="s">
        <v>225</v>
      </c>
      <c r="L38" s="13" t="s">
        <v>30</v>
      </c>
      <c r="M38" s="14" t="s">
        <v>226</v>
      </c>
      <c r="N38" s="15">
        <v>1</v>
      </c>
      <c r="O38" s="13">
        <v>0</v>
      </c>
      <c r="P38" s="15">
        <f t="shared" si="0"/>
        <v>1</v>
      </c>
      <c r="Q38" s="19" t="e">
        <f t="shared" si="2"/>
        <v>#VALUE!</v>
      </c>
      <c r="R38" s="15" t="e">
        <f t="shared" si="1"/>
        <v>#VALUE!</v>
      </c>
      <c r="S38" s="14" t="s">
        <v>224</v>
      </c>
    </row>
    <row r="39" spans="1:19" ht="90">
      <c r="A39" s="7">
        <v>38</v>
      </c>
      <c r="B39" s="31" t="s">
        <v>227</v>
      </c>
      <c r="C39" s="37" t="s">
        <v>228</v>
      </c>
      <c r="D39" s="33" t="s">
        <v>45</v>
      </c>
      <c r="E39" s="34" t="s">
        <v>191</v>
      </c>
      <c r="F39" s="33" t="s">
        <v>65</v>
      </c>
      <c r="G39" s="37" t="s">
        <v>229</v>
      </c>
      <c r="H39" s="33"/>
      <c r="I39" s="33"/>
      <c r="J39" s="18" t="s">
        <v>230</v>
      </c>
      <c r="K39" s="145"/>
      <c r="L39" s="13" t="s">
        <v>45</v>
      </c>
      <c r="M39" s="9" t="s">
        <v>221</v>
      </c>
      <c r="N39" s="15">
        <v>12</v>
      </c>
      <c r="O39" s="13">
        <v>2</v>
      </c>
      <c r="P39" s="15">
        <f t="shared" si="0"/>
        <v>14</v>
      </c>
      <c r="Q39" s="19" t="e">
        <f t="shared" si="2"/>
        <v>#VALUE!</v>
      </c>
      <c r="R39" s="15" t="e">
        <f t="shared" si="1"/>
        <v>#VALUE!</v>
      </c>
      <c r="S39" s="9" t="s">
        <v>231</v>
      </c>
    </row>
    <row r="40" spans="1:19" ht="120">
      <c r="A40" s="7">
        <v>39</v>
      </c>
      <c r="B40" s="8" t="s">
        <v>232</v>
      </c>
      <c r="C40" s="21" t="s">
        <v>233</v>
      </c>
      <c r="D40" s="10" t="s">
        <v>30</v>
      </c>
      <c r="E40" s="17">
        <v>1</v>
      </c>
      <c r="F40" s="10" t="s">
        <v>31</v>
      </c>
      <c r="G40" s="21" t="s">
        <v>224</v>
      </c>
      <c r="H40" s="10"/>
      <c r="I40" s="10"/>
      <c r="J40" s="11" t="s">
        <v>147</v>
      </c>
      <c r="K40" s="12"/>
      <c r="L40" s="12" t="s">
        <v>30</v>
      </c>
      <c r="M40" s="16" t="s">
        <v>234</v>
      </c>
      <c r="N40" s="19">
        <v>1</v>
      </c>
      <c r="O40" s="12">
        <v>0</v>
      </c>
      <c r="P40" s="19">
        <f t="shared" si="0"/>
        <v>1</v>
      </c>
      <c r="Q40" s="19" t="e">
        <f t="shared" si="2"/>
        <v>#VALUE!</v>
      </c>
      <c r="R40" s="15" t="e">
        <f t="shared" si="1"/>
        <v>#VALUE!</v>
      </c>
      <c r="S40" s="16" t="s">
        <v>235</v>
      </c>
    </row>
    <row r="41" spans="1:19" ht="210">
      <c r="A41" s="7">
        <v>40</v>
      </c>
      <c r="B41" s="8" t="s">
        <v>236</v>
      </c>
      <c r="C41" s="9" t="s">
        <v>237</v>
      </c>
      <c r="D41" s="10" t="s">
        <v>45</v>
      </c>
      <c r="E41" s="17" t="s">
        <v>191</v>
      </c>
      <c r="F41" s="10" t="s">
        <v>31</v>
      </c>
      <c r="G41" s="9" t="s">
        <v>238</v>
      </c>
      <c r="H41" s="10"/>
      <c r="I41" s="10"/>
      <c r="J41" s="18" t="s">
        <v>239</v>
      </c>
      <c r="K41" s="38"/>
      <c r="L41" s="13" t="s">
        <v>45</v>
      </c>
      <c r="M41" s="9" t="s">
        <v>221</v>
      </c>
      <c r="N41" s="15">
        <v>12</v>
      </c>
      <c r="O41" s="13">
        <v>2</v>
      </c>
      <c r="P41" s="15">
        <f t="shared" si="0"/>
        <v>14</v>
      </c>
      <c r="Q41" s="19" t="e">
        <f t="shared" si="2"/>
        <v>#VALUE!</v>
      </c>
      <c r="R41" s="15" t="e">
        <f t="shared" si="1"/>
        <v>#VALUE!</v>
      </c>
      <c r="S41" s="9" t="s">
        <v>240</v>
      </c>
    </row>
    <row r="42" spans="1:19" ht="75">
      <c r="A42" s="7">
        <v>41</v>
      </c>
      <c r="B42" s="8" t="s">
        <v>241</v>
      </c>
      <c r="C42" s="21" t="s">
        <v>242</v>
      </c>
      <c r="D42" s="10" t="s">
        <v>30</v>
      </c>
      <c r="E42" s="17">
        <v>1</v>
      </c>
      <c r="F42" s="10" t="s">
        <v>31</v>
      </c>
      <c r="G42" s="21" t="s">
        <v>224</v>
      </c>
      <c r="H42" s="10"/>
      <c r="I42" s="10"/>
      <c r="J42" s="11" t="s">
        <v>147</v>
      </c>
      <c r="K42" s="38"/>
      <c r="L42" s="12" t="s">
        <v>30</v>
      </c>
      <c r="M42" s="16" t="s">
        <v>234</v>
      </c>
      <c r="N42" s="19">
        <v>1</v>
      </c>
      <c r="O42" s="12">
        <v>0</v>
      </c>
      <c r="P42" s="19">
        <f t="shared" si="0"/>
        <v>1</v>
      </c>
      <c r="Q42" s="19" t="e">
        <f t="shared" si="2"/>
        <v>#VALUE!</v>
      </c>
      <c r="R42" s="15" t="e">
        <f t="shared" si="1"/>
        <v>#VALUE!</v>
      </c>
      <c r="S42" s="16" t="s">
        <v>235</v>
      </c>
    </row>
    <row r="43" spans="1:19" ht="165">
      <c r="A43" s="7">
        <v>42</v>
      </c>
      <c r="B43" s="8" t="s">
        <v>243</v>
      </c>
      <c r="C43" s="9" t="s">
        <v>244</v>
      </c>
      <c r="D43" s="10" t="s">
        <v>45</v>
      </c>
      <c r="E43" s="17" t="s">
        <v>191</v>
      </c>
      <c r="F43" s="10" t="s">
        <v>31</v>
      </c>
      <c r="G43" s="9" t="s">
        <v>245</v>
      </c>
      <c r="H43" s="10"/>
      <c r="I43" s="10"/>
      <c r="J43" s="18" t="s">
        <v>246</v>
      </c>
      <c r="K43" s="38"/>
      <c r="L43" s="13" t="s">
        <v>45</v>
      </c>
      <c r="M43" s="9" t="s">
        <v>221</v>
      </c>
      <c r="N43" s="15">
        <v>12</v>
      </c>
      <c r="O43" s="13">
        <v>2</v>
      </c>
      <c r="P43" s="15">
        <f t="shared" si="0"/>
        <v>14</v>
      </c>
      <c r="Q43" s="19" t="e">
        <f t="shared" si="2"/>
        <v>#VALUE!</v>
      </c>
      <c r="R43" s="15" t="e">
        <f t="shared" si="1"/>
        <v>#VALUE!</v>
      </c>
      <c r="S43" s="9" t="s">
        <v>247</v>
      </c>
    </row>
    <row r="44" spans="1:19" ht="75">
      <c r="A44" s="7">
        <v>43</v>
      </c>
      <c r="B44" s="8" t="s">
        <v>248</v>
      </c>
      <c r="C44" s="21" t="s">
        <v>249</v>
      </c>
      <c r="D44" s="10" t="s">
        <v>30</v>
      </c>
      <c r="E44" s="17">
        <v>1</v>
      </c>
      <c r="F44" s="10" t="s">
        <v>31</v>
      </c>
      <c r="G44" s="21" t="s">
        <v>224</v>
      </c>
      <c r="H44" s="10"/>
      <c r="I44" s="10"/>
      <c r="J44" s="11" t="s">
        <v>147</v>
      </c>
      <c r="K44" s="13"/>
      <c r="L44" s="12" t="s">
        <v>30</v>
      </c>
      <c r="M44" s="16" t="s">
        <v>234</v>
      </c>
      <c r="N44" s="19">
        <v>1</v>
      </c>
      <c r="O44" s="12">
        <v>0</v>
      </c>
      <c r="P44" s="19">
        <f t="shared" si="0"/>
        <v>1</v>
      </c>
      <c r="Q44" s="19" t="e">
        <f t="shared" si="2"/>
        <v>#VALUE!</v>
      </c>
      <c r="R44" s="15" t="e">
        <f t="shared" si="1"/>
        <v>#VALUE!</v>
      </c>
      <c r="S44" s="16" t="s">
        <v>235</v>
      </c>
    </row>
    <row r="45" spans="1:19" ht="165">
      <c r="A45" s="7">
        <v>44</v>
      </c>
      <c r="B45" s="8" t="s">
        <v>250</v>
      </c>
      <c r="C45" s="9" t="s">
        <v>251</v>
      </c>
      <c r="D45" s="10" t="s">
        <v>45</v>
      </c>
      <c r="E45" s="17" t="s">
        <v>191</v>
      </c>
      <c r="F45" s="10" t="s">
        <v>31</v>
      </c>
      <c r="G45" s="9" t="s">
        <v>252</v>
      </c>
      <c r="H45" s="10"/>
      <c r="I45" s="10"/>
      <c r="J45" s="18"/>
      <c r="K45" s="38"/>
      <c r="L45" s="13" t="s">
        <v>45</v>
      </c>
      <c r="M45" s="9" t="s">
        <v>221</v>
      </c>
      <c r="N45" s="15">
        <v>12</v>
      </c>
      <c r="O45" s="13">
        <v>2</v>
      </c>
      <c r="P45" s="15">
        <f t="shared" si="0"/>
        <v>14</v>
      </c>
      <c r="Q45" s="19" t="e">
        <f t="shared" si="2"/>
        <v>#VALUE!</v>
      </c>
      <c r="R45" s="15" t="e">
        <f t="shared" si="1"/>
        <v>#VALUE!</v>
      </c>
      <c r="S45" s="9" t="s">
        <v>253</v>
      </c>
    </row>
    <row r="46" spans="1:19" ht="75">
      <c r="A46" s="7">
        <v>45</v>
      </c>
      <c r="B46" s="8" t="s">
        <v>254</v>
      </c>
      <c r="C46" s="21" t="s">
        <v>255</v>
      </c>
      <c r="D46" s="10" t="s">
        <v>30</v>
      </c>
      <c r="E46" s="17">
        <v>1</v>
      </c>
      <c r="F46" s="10" t="s">
        <v>31</v>
      </c>
      <c r="G46" s="21" t="s">
        <v>224</v>
      </c>
      <c r="H46" s="10"/>
      <c r="I46" s="10"/>
      <c r="J46" s="11" t="s">
        <v>147</v>
      </c>
      <c r="K46" s="13"/>
      <c r="L46" s="12" t="s">
        <v>30</v>
      </c>
      <c r="M46" s="16" t="s">
        <v>234</v>
      </c>
      <c r="N46" s="19">
        <v>1</v>
      </c>
      <c r="O46" s="12">
        <v>0</v>
      </c>
      <c r="P46" s="19">
        <f t="shared" si="0"/>
        <v>1</v>
      </c>
      <c r="Q46" s="19" t="e">
        <f t="shared" si="2"/>
        <v>#VALUE!</v>
      </c>
      <c r="R46" s="15" t="e">
        <f t="shared" si="1"/>
        <v>#VALUE!</v>
      </c>
      <c r="S46" s="16" t="s">
        <v>235</v>
      </c>
    </row>
    <row r="47" spans="1:19" ht="165">
      <c r="A47" s="7">
        <v>46</v>
      </c>
      <c r="B47" s="8" t="s">
        <v>256</v>
      </c>
      <c r="C47" s="9" t="s">
        <v>257</v>
      </c>
      <c r="D47" s="10" t="s">
        <v>45</v>
      </c>
      <c r="E47" s="17" t="s">
        <v>191</v>
      </c>
      <c r="F47" s="10" t="s">
        <v>31</v>
      </c>
      <c r="G47" s="9" t="s">
        <v>252</v>
      </c>
      <c r="H47" s="10"/>
      <c r="I47" s="10"/>
      <c r="J47" s="18"/>
      <c r="K47" s="38"/>
      <c r="L47" s="13" t="s">
        <v>45</v>
      </c>
      <c r="M47" s="9" t="s">
        <v>221</v>
      </c>
      <c r="N47" s="15">
        <v>12</v>
      </c>
      <c r="O47" s="13">
        <v>2</v>
      </c>
      <c r="P47" s="15">
        <f t="shared" si="0"/>
        <v>14</v>
      </c>
      <c r="Q47" s="19" t="e">
        <f t="shared" si="2"/>
        <v>#VALUE!</v>
      </c>
      <c r="R47" s="15" t="e">
        <f t="shared" si="1"/>
        <v>#VALUE!</v>
      </c>
      <c r="S47" s="9" t="s">
        <v>253</v>
      </c>
    </row>
    <row r="48" spans="1:19" ht="150">
      <c r="A48" s="7">
        <v>47</v>
      </c>
      <c r="B48" s="8" t="s">
        <v>258</v>
      </c>
      <c r="C48" s="21" t="s">
        <v>259</v>
      </c>
      <c r="D48" s="10" t="s">
        <v>30</v>
      </c>
      <c r="E48" s="17">
        <v>1</v>
      </c>
      <c r="F48" s="10" t="s">
        <v>31</v>
      </c>
      <c r="G48" s="21" t="s">
        <v>146</v>
      </c>
      <c r="H48" s="10"/>
      <c r="I48" s="10"/>
      <c r="J48" s="18" t="s">
        <v>147</v>
      </c>
      <c r="K48" s="146" t="s">
        <v>260</v>
      </c>
      <c r="L48" s="12" t="s">
        <v>30</v>
      </c>
      <c r="M48" s="16" t="s">
        <v>148</v>
      </c>
      <c r="N48" s="19">
        <v>1</v>
      </c>
      <c r="O48" s="12">
        <v>0</v>
      </c>
      <c r="P48" s="19">
        <f t="shared" si="0"/>
        <v>1</v>
      </c>
      <c r="Q48" s="19" t="e">
        <f t="shared" si="2"/>
        <v>#VALUE!</v>
      </c>
      <c r="R48" s="15" t="e">
        <f t="shared" si="1"/>
        <v>#VALUE!</v>
      </c>
      <c r="S48" s="16" t="s">
        <v>261</v>
      </c>
    </row>
    <row r="49" spans="1:19" ht="195">
      <c r="A49" s="7">
        <v>48</v>
      </c>
      <c r="B49" s="8" t="s">
        <v>262</v>
      </c>
      <c r="C49" s="9" t="s">
        <v>263</v>
      </c>
      <c r="D49" s="10" t="s">
        <v>45</v>
      </c>
      <c r="E49" s="17" t="s">
        <v>158</v>
      </c>
      <c r="F49" s="10" t="s">
        <v>31</v>
      </c>
      <c r="G49" s="9" t="s">
        <v>264</v>
      </c>
      <c r="H49" s="10"/>
      <c r="I49" s="10"/>
      <c r="J49" s="134" t="s">
        <v>265</v>
      </c>
      <c r="K49" s="146"/>
      <c r="L49" s="12" t="s">
        <v>45</v>
      </c>
      <c r="M49" s="9" t="s">
        <v>221</v>
      </c>
      <c r="N49" s="19">
        <v>3</v>
      </c>
      <c r="O49" s="12">
        <v>5</v>
      </c>
      <c r="P49" s="19">
        <f t="shared" si="0"/>
        <v>8</v>
      </c>
      <c r="Q49" s="19" t="e">
        <f t="shared" si="2"/>
        <v>#VALUE!</v>
      </c>
      <c r="R49" s="15" t="e">
        <f t="shared" si="1"/>
        <v>#VALUE!</v>
      </c>
      <c r="S49" s="23" t="s">
        <v>266</v>
      </c>
    </row>
    <row r="50" spans="1:19" ht="105">
      <c r="A50" s="7">
        <v>49</v>
      </c>
      <c r="B50" s="8" t="s">
        <v>267</v>
      </c>
      <c r="C50" s="9" t="s">
        <v>95</v>
      </c>
      <c r="D50" s="10" t="s">
        <v>30</v>
      </c>
      <c r="E50" s="17">
        <v>1</v>
      </c>
      <c r="F50" s="10" t="s">
        <v>31</v>
      </c>
      <c r="G50" s="9" t="s">
        <v>268</v>
      </c>
      <c r="H50" s="10"/>
      <c r="I50" s="10"/>
      <c r="J50" s="134"/>
      <c r="K50" s="146"/>
      <c r="L50" s="12" t="s">
        <v>30</v>
      </c>
      <c r="M50" s="9" t="s">
        <v>269</v>
      </c>
      <c r="N50" s="19">
        <v>1</v>
      </c>
      <c r="O50" s="12">
        <v>0</v>
      </c>
      <c r="P50" s="19">
        <f t="shared" si="0"/>
        <v>1</v>
      </c>
      <c r="Q50" s="19" t="e">
        <f t="shared" si="2"/>
        <v>#VALUE!</v>
      </c>
      <c r="R50" s="15" t="e">
        <f t="shared" si="1"/>
        <v>#VALUE!</v>
      </c>
      <c r="S50" s="23" t="s">
        <v>270</v>
      </c>
    </row>
    <row r="51" spans="1:19" ht="225">
      <c r="A51" s="7">
        <v>50</v>
      </c>
      <c r="B51" s="8" t="s">
        <v>271</v>
      </c>
      <c r="C51" s="9" t="s">
        <v>102</v>
      </c>
      <c r="D51" s="10" t="s">
        <v>30</v>
      </c>
      <c r="E51" s="17">
        <v>1</v>
      </c>
      <c r="F51" s="10" t="s">
        <v>31</v>
      </c>
      <c r="G51" s="9" t="s">
        <v>272</v>
      </c>
      <c r="H51" s="9" t="s">
        <v>104</v>
      </c>
      <c r="I51" s="9" t="s">
        <v>105</v>
      </c>
      <c r="J51" s="134"/>
      <c r="K51" s="146"/>
      <c r="L51" s="12" t="s">
        <v>30</v>
      </c>
      <c r="M51" s="16" t="s">
        <v>273</v>
      </c>
      <c r="N51" s="19">
        <v>1</v>
      </c>
      <c r="O51" s="12">
        <v>0</v>
      </c>
      <c r="P51" s="19">
        <f t="shared" si="0"/>
        <v>1</v>
      </c>
      <c r="Q51" s="19" t="e">
        <f t="shared" si="2"/>
        <v>#VALUE!</v>
      </c>
      <c r="R51" s="15" t="e">
        <f t="shared" si="1"/>
        <v>#VALUE!</v>
      </c>
      <c r="S51" s="23" t="s">
        <v>274</v>
      </c>
    </row>
    <row r="52" spans="1:19" ht="120">
      <c r="A52" s="7">
        <v>51</v>
      </c>
      <c r="B52" s="8" t="s">
        <v>275</v>
      </c>
      <c r="C52" s="9" t="s">
        <v>276</v>
      </c>
      <c r="D52" s="10" t="s">
        <v>30</v>
      </c>
      <c r="E52" s="17">
        <v>8</v>
      </c>
      <c r="F52" s="10" t="s">
        <v>31</v>
      </c>
      <c r="G52" s="9" t="s">
        <v>277</v>
      </c>
      <c r="H52" s="10"/>
      <c r="I52" s="10"/>
      <c r="J52" s="134"/>
      <c r="K52" s="146"/>
      <c r="L52" s="12" t="s">
        <v>30</v>
      </c>
      <c r="M52" s="16" t="s">
        <v>127</v>
      </c>
      <c r="N52" s="19">
        <v>8</v>
      </c>
      <c r="O52" s="12">
        <v>0</v>
      </c>
      <c r="P52" s="19">
        <f t="shared" si="0"/>
        <v>8</v>
      </c>
      <c r="Q52" s="19" t="e">
        <f t="shared" si="2"/>
        <v>#VALUE!</v>
      </c>
      <c r="R52" s="15" t="e">
        <f t="shared" si="1"/>
        <v>#VALUE!</v>
      </c>
      <c r="S52" s="23" t="s">
        <v>278</v>
      </c>
    </row>
    <row r="53" spans="1:19" ht="30">
      <c r="A53" s="7">
        <v>52</v>
      </c>
      <c r="B53" s="8" t="s">
        <v>279</v>
      </c>
      <c r="C53" s="21" t="s">
        <v>280</v>
      </c>
      <c r="D53" s="10" t="s">
        <v>30</v>
      </c>
      <c r="E53" s="17">
        <v>1</v>
      </c>
      <c r="F53" s="10" t="s">
        <v>65</v>
      </c>
      <c r="G53" s="21" t="s">
        <v>281</v>
      </c>
      <c r="H53" s="10"/>
      <c r="I53" s="10"/>
      <c r="J53" s="18" t="s">
        <v>176</v>
      </c>
      <c r="K53" s="12"/>
      <c r="L53" s="12" t="s">
        <v>30</v>
      </c>
      <c r="M53" s="9" t="s">
        <v>127</v>
      </c>
      <c r="N53" s="19">
        <v>1</v>
      </c>
      <c r="O53" s="12">
        <v>0</v>
      </c>
      <c r="P53" s="19">
        <f t="shared" si="0"/>
        <v>1</v>
      </c>
      <c r="Q53" s="19" t="e">
        <f t="shared" si="2"/>
        <v>#VALUE!</v>
      </c>
      <c r="R53" s="15" t="e">
        <f t="shared" si="1"/>
        <v>#VALUE!</v>
      </c>
      <c r="S53" s="16" t="s">
        <v>282</v>
      </c>
    </row>
    <row r="54" spans="1:19">
      <c r="A54" s="7">
        <v>53</v>
      </c>
      <c r="B54" s="8" t="s">
        <v>283</v>
      </c>
      <c r="C54" s="21" t="s">
        <v>284</v>
      </c>
      <c r="D54" s="10" t="s">
        <v>30</v>
      </c>
      <c r="E54" s="17">
        <v>5</v>
      </c>
      <c r="F54" s="10" t="s">
        <v>65</v>
      </c>
      <c r="G54" s="21" t="s">
        <v>281</v>
      </c>
      <c r="H54" s="10"/>
      <c r="I54" s="10"/>
      <c r="J54" s="18" t="s">
        <v>176</v>
      </c>
      <c r="K54" s="12"/>
      <c r="L54" s="12" t="s">
        <v>30</v>
      </c>
      <c r="M54" s="9" t="s">
        <v>127</v>
      </c>
      <c r="N54" s="19">
        <v>5</v>
      </c>
      <c r="O54" s="12">
        <v>0</v>
      </c>
      <c r="P54" s="19">
        <f t="shared" si="0"/>
        <v>5</v>
      </c>
      <c r="Q54" s="19" t="e">
        <f t="shared" si="2"/>
        <v>#VALUE!</v>
      </c>
      <c r="R54" s="15" t="e">
        <f t="shared" si="1"/>
        <v>#VALUE!</v>
      </c>
      <c r="S54" s="16" t="s">
        <v>282</v>
      </c>
    </row>
    <row r="55" spans="1:19" ht="120">
      <c r="A55" s="7">
        <v>54</v>
      </c>
      <c r="B55" s="8" t="s">
        <v>285</v>
      </c>
      <c r="C55" s="9" t="s">
        <v>286</v>
      </c>
      <c r="D55" s="10" t="s">
        <v>30</v>
      </c>
      <c r="E55" s="17">
        <v>1</v>
      </c>
      <c r="F55" s="10" t="s">
        <v>31</v>
      </c>
      <c r="G55" s="9" t="s">
        <v>287</v>
      </c>
      <c r="H55" s="10"/>
      <c r="I55" s="10"/>
      <c r="J55" s="39" t="s">
        <v>288</v>
      </c>
      <c r="K55" s="140" t="s">
        <v>289</v>
      </c>
      <c r="L55" s="12" t="s">
        <v>30</v>
      </c>
      <c r="M55" s="21" t="s">
        <v>290</v>
      </c>
      <c r="N55" s="19">
        <v>1</v>
      </c>
      <c r="O55" s="12">
        <v>0</v>
      </c>
      <c r="P55" s="19">
        <f t="shared" si="0"/>
        <v>1</v>
      </c>
      <c r="Q55" s="19" t="e">
        <f t="shared" si="2"/>
        <v>#VALUE!</v>
      </c>
      <c r="R55" s="15" t="e">
        <f t="shared" si="1"/>
        <v>#VALUE!</v>
      </c>
      <c r="S55" s="41" t="s">
        <v>291</v>
      </c>
    </row>
    <row r="56" spans="1:19" ht="120">
      <c r="A56" s="7">
        <v>55</v>
      </c>
      <c r="B56" s="8" t="s">
        <v>292</v>
      </c>
      <c r="C56" s="21" t="s">
        <v>293</v>
      </c>
      <c r="D56" s="10" t="s">
        <v>30</v>
      </c>
      <c r="E56" s="17">
        <v>10</v>
      </c>
      <c r="F56" s="10" t="s">
        <v>31</v>
      </c>
      <c r="G56" s="9" t="s">
        <v>294</v>
      </c>
      <c r="H56" s="10"/>
      <c r="I56" s="10"/>
      <c r="J56" s="11" t="s">
        <v>295</v>
      </c>
      <c r="K56" s="140"/>
      <c r="L56" s="12" t="s">
        <v>30</v>
      </c>
      <c r="M56" s="21" t="s">
        <v>296</v>
      </c>
      <c r="N56" s="19">
        <v>10</v>
      </c>
      <c r="O56" s="12">
        <v>0</v>
      </c>
      <c r="P56" s="19">
        <f t="shared" si="0"/>
        <v>10</v>
      </c>
      <c r="Q56" s="19" t="e">
        <f t="shared" si="2"/>
        <v>#VALUE!</v>
      </c>
      <c r="R56" s="15" t="e">
        <f t="shared" si="1"/>
        <v>#VALUE!</v>
      </c>
      <c r="S56" s="24" t="s">
        <v>297</v>
      </c>
    </row>
    <row r="57" spans="1:19" ht="135">
      <c r="A57" s="7">
        <v>56</v>
      </c>
      <c r="B57" s="8" t="s">
        <v>298</v>
      </c>
      <c r="C57" s="9" t="s">
        <v>299</v>
      </c>
      <c r="D57" s="10" t="s">
        <v>30</v>
      </c>
      <c r="E57" s="17">
        <v>1</v>
      </c>
      <c r="F57" s="10" t="s">
        <v>31</v>
      </c>
      <c r="G57" s="9" t="s">
        <v>300</v>
      </c>
      <c r="H57" s="9" t="s">
        <v>301</v>
      </c>
      <c r="I57" s="9" t="s">
        <v>302</v>
      </c>
      <c r="J57" s="11" t="s">
        <v>176</v>
      </c>
      <c r="K57" s="42" t="s">
        <v>303</v>
      </c>
      <c r="L57" s="12" t="s">
        <v>30</v>
      </c>
      <c r="M57" s="9" t="s">
        <v>304</v>
      </c>
      <c r="N57" s="19">
        <v>1</v>
      </c>
      <c r="O57" s="12">
        <v>0</v>
      </c>
      <c r="P57" s="19">
        <f t="shared" si="0"/>
        <v>1</v>
      </c>
      <c r="Q57" s="19" t="e">
        <f t="shared" si="2"/>
        <v>#VALUE!</v>
      </c>
      <c r="R57" s="15" t="e">
        <f t="shared" si="1"/>
        <v>#VALUE!</v>
      </c>
      <c r="S57" s="11" t="s">
        <v>305</v>
      </c>
    </row>
    <row r="58" spans="1:19" ht="75">
      <c r="A58" s="7">
        <v>57</v>
      </c>
      <c r="B58" s="8" t="s">
        <v>306</v>
      </c>
      <c r="C58" s="9" t="s">
        <v>307</v>
      </c>
      <c r="D58" s="10" t="s">
        <v>45</v>
      </c>
      <c r="E58" s="17">
        <v>2</v>
      </c>
      <c r="F58" s="10" t="s">
        <v>31</v>
      </c>
      <c r="G58" s="9" t="s">
        <v>308</v>
      </c>
      <c r="H58" s="10"/>
      <c r="I58" s="10"/>
      <c r="J58" s="11" t="s">
        <v>309</v>
      </c>
      <c r="K58" s="12"/>
      <c r="L58" s="12" t="s">
        <v>45</v>
      </c>
      <c r="M58" s="16" t="s">
        <v>154</v>
      </c>
      <c r="N58" s="19">
        <v>2</v>
      </c>
      <c r="O58" s="12">
        <v>0</v>
      </c>
      <c r="P58" s="19">
        <f t="shared" si="0"/>
        <v>2</v>
      </c>
      <c r="Q58" s="19" t="e">
        <f t="shared" si="2"/>
        <v>#VALUE!</v>
      </c>
      <c r="R58" s="15" t="e">
        <f t="shared" si="1"/>
        <v>#VALUE!</v>
      </c>
      <c r="S58" s="9" t="s">
        <v>310</v>
      </c>
    </row>
    <row r="59" spans="1:19" ht="165">
      <c r="A59" s="7">
        <v>58</v>
      </c>
      <c r="B59" s="8" t="s">
        <v>311</v>
      </c>
      <c r="C59" s="9" t="s">
        <v>312</v>
      </c>
      <c r="D59" s="10" t="s">
        <v>45</v>
      </c>
      <c r="E59" s="17">
        <v>3</v>
      </c>
      <c r="F59" s="10" t="s">
        <v>31</v>
      </c>
      <c r="G59" s="9" t="s">
        <v>313</v>
      </c>
      <c r="H59" s="10"/>
      <c r="I59" s="10"/>
      <c r="J59" s="11" t="s">
        <v>314</v>
      </c>
      <c r="K59" s="12"/>
      <c r="L59" s="12" t="s">
        <v>45</v>
      </c>
      <c r="M59" s="9" t="s">
        <v>315</v>
      </c>
      <c r="N59" s="19">
        <v>3</v>
      </c>
      <c r="O59" s="12">
        <v>0</v>
      </c>
      <c r="P59" s="19">
        <f t="shared" si="0"/>
        <v>3</v>
      </c>
      <c r="Q59" s="19" t="e">
        <f t="shared" si="2"/>
        <v>#VALUE!</v>
      </c>
      <c r="R59" s="15" t="e">
        <f t="shared" si="1"/>
        <v>#VALUE!</v>
      </c>
      <c r="S59" s="9" t="s">
        <v>316</v>
      </c>
    </row>
    <row r="60" spans="1:19" ht="210">
      <c r="A60" s="7">
        <v>59</v>
      </c>
      <c r="B60" s="8" t="s">
        <v>317</v>
      </c>
      <c r="C60" s="9" t="s">
        <v>318</v>
      </c>
      <c r="D60" s="10" t="s">
        <v>45</v>
      </c>
      <c r="E60" s="17">
        <v>3</v>
      </c>
      <c r="F60" s="10" t="s">
        <v>31</v>
      </c>
      <c r="G60" s="9" t="s">
        <v>319</v>
      </c>
      <c r="H60" s="10"/>
      <c r="I60" s="10"/>
      <c r="J60" s="11" t="s">
        <v>320</v>
      </c>
      <c r="K60" s="12"/>
      <c r="L60" s="12" t="s">
        <v>45</v>
      </c>
      <c r="M60" s="16" t="s">
        <v>321</v>
      </c>
      <c r="N60" s="19">
        <v>3</v>
      </c>
      <c r="O60" s="12">
        <v>0</v>
      </c>
      <c r="P60" s="19">
        <f t="shared" si="0"/>
        <v>3</v>
      </c>
      <c r="Q60" s="19" t="e">
        <f t="shared" si="2"/>
        <v>#VALUE!</v>
      </c>
      <c r="R60" s="15" t="e">
        <f t="shared" si="1"/>
        <v>#VALUE!</v>
      </c>
      <c r="S60" s="36" t="s">
        <v>322</v>
      </c>
    </row>
    <row r="61" spans="1:19" ht="405">
      <c r="A61" s="7">
        <v>60</v>
      </c>
      <c r="B61" s="8" t="s">
        <v>323</v>
      </c>
      <c r="C61" s="9" t="s">
        <v>324</v>
      </c>
      <c r="D61" s="10" t="s">
        <v>45</v>
      </c>
      <c r="E61" s="17">
        <v>3</v>
      </c>
      <c r="F61" s="10" t="s">
        <v>31</v>
      </c>
      <c r="G61" s="9" t="s">
        <v>325</v>
      </c>
      <c r="H61" s="10"/>
      <c r="I61" s="10"/>
      <c r="J61" s="11" t="s">
        <v>326</v>
      </c>
      <c r="K61" s="12"/>
      <c r="L61" s="12" t="s">
        <v>45</v>
      </c>
      <c r="M61" s="16" t="s">
        <v>127</v>
      </c>
      <c r="N61" s="19">
        <v>3</v>
      </c>
      <c r="O61" s="12">
        <v>0</v>
      </c>
      <c r="P61" s="19">
        <f t="shared" si="0"/>
        <v>3</v>
      </c>
      <c r="Q61" s="19" t="e">
        <f t="shared" si="2"/>
        <v>#VALUE!</v>
      </c>
      <c r="R61" s="15" t="e">
        <f t="shared" si="1"/>
        <v>#VALUE!</v>
      </c>
      <c r="S61" s="9" t="s">
        <v>327</v>
      </c>
    </row>
    <row r="62" spans="1:19" ht="75">
      <c r="A62" s="7">
        <v>61</v>
      </c>
      <c r="B62" s="8" t="s">
        <v>328</v>
      </c>
      <c r="C62" s="9" t="s">
        <v>329</v>
      </c>
      <c r="D62" s="10" t="s">
        <v>45</v>
      </c>
      <c r="E62" s="17">
        <v>3</v>
      </c>
      <c r="F62" s="10" t="s">
        <v>31</v>
      </c>
      <c r="G62" s="9" t="s">
        <v>330</v>
      </c>
      <c r="H62" s="10"/>
      <c r="I62" s="10"/>
      <c r="J62" s="11"/>
      <c r="K62" s="12"/>
      <c r="L62" s="12" t="s">
        <v>45</v>
      </c>
      <c r="M62" s="16" t="s">
        <v>127</v>
      </c>
      <c r="N62" s="19">
        <v>3</v>
      </c>
      <c r="O62" s="12">
        <v>0</v>
      </c>
      <c r="P62" s="19">
        <f t="shared" si="0"/>
        <v>3</v>
      </c>
      <c r="Q62" s="19" t="e">
        <f t="shared" si="2"/>
        <v>#VALUE!</v>
      </c>
      <c r="R62" s="15" t="e">
        <f t="shared" si="1"/>
        <v>#VALUE!</v>
      </c>
      <c r="S62" s="9" t="s">
        <v>331</v>
      </c>
    </row>
    <row r="63" spans="1:19" ht="75">
      <c r="A63" s="7">
        <v>62</v>
      </c>
      <c r="B63" s="8" t="s">
        <v>332</v>
      </c>
      <c r="C63" s="9" t="s">
        <v>333</v>
      </c>
      <c r="D63" s="10" t="s">
        <v>45</v>
      </c>
      <c r="E63" s="17">
        <v>5</v>
      </c>
      <c r="F63" s="10" t="s">
        <v>31</v>
      </c>
      <c r="G63" s="9" t="s">
        <v>334</v>
      </c>
      <c r="H63" s="10"/>
      <c r="I63" s="10"/>
      <c r="J63" s="11" t="s">
        <v>335</v>
      </c>
      <c r="K63" s="43" t="s">
        <v>336</v>
      </c>
      <c r="L63" s="12" t="s">
        <v>45</v>
      </c>
      <c r="M63" s="16" t="s">
        <v>127</v>
      </c>
      <c r="N63" s="19">
        <v>5</v>
      </c>
      <c r="O63" s="12">
        <v>0</v>
      </c>
      <c r="P63" s="19">
        <f t="shared" si="0"/>
        <v>5</v>
      </c>
      <c r="Q63" s="19" t="e">
        <f t="shared" si="2"/>
        <v>#VALUE!</v>
      </c>
      <c r="R63" s="15" t="e">
        <f t="shared" si="1"/>
        <v>#VALUE!</v>
      </c>
      <c r="S63" s="9" t="s">
        <v>337</v>
      </c>
    </row>
    <row r="64" spans="1:19" ht="105">
      <c r="A64" s="7">
        <v>63</v>
      </c>
      <c r="B64" s="8" t="s">
        <v>338</v>
      </c>
      <c r="C64" s="9" t="s">
        <v>339</v>
      </c>
      <c r="D64" s="10" t="s">
        <v>45</v>
      </c>
      <c r="E64" s="17">
        <v>5</v>
      </c>
      <c r="F64" s="10" t="s">
        <v>31</v>
      </c>
      <c r="G64" s="9" t="s">
        <v>340</v>
      </c>
      <c r="H64" s="10"/>
      <c r="I64" s="10"/>
      <c r="J64" s="11"/>
      <c r="K64" s="12"/>
      <c r="L64" s="12" t="s">
        <v>45</v>
      </c>
      <c r="M64" s="16" t="s">
        <v>341</v>
      </c>
      <c r="N64" s="19">
        <v>5</v>
      </c>
      <c r="O64" s="12">
        <v>0</v>
      </c>
      <c r="P64" s="19">
        <f t="shared" si="0"/>
        <v>5</v>
      </c>
      <c r="Q64" s="19" t="e">
        <f t="shared" si="2"/>
        <v>#VALUE!</v>
      </c>
      <c r="R64" s="15" t="e">
        <f t="shared" si="1"/>
        <v>#VALUE!</v>
      </c>
      <c r="S64" s="9" t="s">
        <v>342</v>
      </c>
    </row>
    <row r="65" spans="1:19" ht="180">
      <c r="A65" s="7">
        <v>64</v>
      </c>
      <c r="B65" s="8" t="s">
        <v>343</v>
      </c>
      <c r="C65" s="9" t="s">
        <v>344</v>
      </c>
      <c r="D65" s="10" t="s">
        <v>45</v>
      </c>
      <c r="E65" s="17">
        <v>2</v>
      </c>
      <c r="F65" s="10" t="s">
        <v>31</v>
      </c>
      <c r="G65" s="9" t="s">
        <v>345</v>
      </c>
      <c r="H65" s="10"/>
      <c r="I65" s="10"/>
      <c r="J65" s="18" t="s">
        <v>346</v>
      </c>
      <c r="K65" s="44" t="s">
        <v>347</v>
      </c>
      <c r="L65" s="12" t="s">
        <v>45</v>
      </c>
      <c r="M65" s="9" t="s">
        <v>348</v>
      </c>
      <c r="N65" s="19">
        <v>2</v>
      </c>
      <c r="O65" s="12">
        <v>0</v>
      </c>
      <c r="P65" s="19">
        <f t="shared" si="0"/>
        <v>2</v>
      </c>
      <c r="Q65" s="19" t="e">
        <f t="shared" si="2"/>
        <v>#VALUE!</v>
      </c>
      <c r="R65" s="15" t="e">
        <f t="shared" si="1"/>
        <v>#VALUE!</v>
      </c>
      <c r="S65" s="9" t="s">
        <v>349</v>
      </c>
    </row>
    <row r="66" spans="1:19" ht="45">
      <c r="A66" s="7">
        <v>65</v>
      </c>
      <c r="B66" s="8" t="s">
        <v>350</v>
      </c>
      <c r="C66" s="9" t="s">
        <v>351</v>
      </c>
      <c r="D66" s="10" t="s">
        <v>30</v>
      </c>
      <c r="E66" s="17">
        <v>8</v>
      </c>
      <c r="F66" s="10" t="s">
        <v>31</v>
      </c>
      <c r="G66" s="9" t="s">
        <v>352</v>
      </c>
      <c r="H66" s="10"/>
      <c r="I66" s="10"/>
      <c r="J66" s="18" t="s">
        <v>353</v>
      </c>
      <c r="K66" s="12"/>
      <c r="L66" s="12" t="s">
        <v>30</v>
      </c>
      <c r="M66" s="16" t="s">
        <v>154</v>
      </c>
      <c r="N66" s="19">
        <v>8</v>
      </c>
      <c r="O66" s="12">
        <v>0</v>
      </c>
      <c r="P66" s="19">
        <f t="shared" ref="P66:P129" si="3">+N66+O66</f>
        <v>8</v>
      </c>
      <c r="Q66" s="19" t="e">
        <f t="shared" si="2"/>
        <v>#VALUE!</v>
      </c>
      <c r="R66" s="15" t="e">
        <f t="shared" si="1"/>
        <v>#VALUE!</v>
      </c>
      <c r="S66" s="16" t="s">
        <v>354</v>
      </c>
    </row>
    <row r="67" spans="1:19" ht="120">
      <c r="A67" s="7">
        <v>66</v>
      </c>
      <c r="B67" s="8" t="s">
        <v>355</v>
      </c>
      <c r="C67" s="9" t="s">
        <v>356</v>
      </c>
      <c r="D67" s="10" t="s">
        <v>30</v>
      </c>
      <c r="E67" s="17">
        <v>8</v>
      </c>
      <c r="F67" s="10" t="s">
        <v>31</v>
      </c>
      <c r="G67" s="9" t="s">
        <v>357</v>
      </c>
      <c r="H67" s="10"/>
      <c r="I67" s="10"/>
      <c r="J67" s="18" t="s">
        <v>358</v>
      </c>
      <c r="K67" s="12"/>
      <c r="L67" s="12" t="s">
        <v>30</v>
      </c>
      <c r="M67" s="9" t="s">
        <v>359</v>
      </c>
      <c r="N67" s="19">
        <v>8</v>
      </c>
      <c r="O67" s="12">
        <v>0</v>
      </c>
      <c r="P67" s="19">
        <f t="shared" si="3"/>
        <v>8</v>
      </c>
      <c r="Q67" s="19" t="e">
        <f t="shared" si="2"/>
        <v>#VALUE!</v>
      </c>
      <c r="R67" s="15" t="e">
        <f t="shared" ref="R67:R130" si="4">Q67+P67-1</f>
        <v>#VALUE!</v>
      </c>
      <c r="S67" s="16" t="s">
        <v>360</v>
      </c>
    </row>
    <row r="68" spans="1:19" ht="105">
      <c r="A68" s="7">
        <v>67</v>
      </c>
      <c r="B68" s="8" t="s">
        <v>361</v>
      </c>
      <c r="C68" s="9" t="s">
        <v>362</v>
      </c>
      <c r="D68" s="10" t="s">
        <v>30</v>
      </c>
      <c r="E68" s="17">
        <v>8</v>
      </c>
      <c r="F68" s="10" t="s">
        <v>31</v>
      </c>
      <c r="G68" s="9" t="s">
        <v>357</v>
      </c>
      <c r="H68" s="10"/>
      <c r="I68" s="10"/>
      <c r="J68" s="11" t="s">
        <v>363</v>
      </c>
      <c r="K68" s="12"/>
      <c r="L68" s="12" t="s">
        <v>30</v>
      </c>
      <c r="M68" s="16" t="s">
        <v>359</v>
      </c>
      <c r="N68" s="19">
        <v>8</v>
      </c>
      <c r="O68" s="12">
        <v>0</v>
      </c>
      <c r="P68" s="19">
        <f t="shared" si="3"/>
        <v>8</v>
      </c>
      <c r="Q68" s="19" t="e">
        <f t="shared" ref="Q68:Q131" si="5">R67+1</f>
        <v>#VALUE!</v>
      </c>
      <c r="R68" s="15" t="e">
        <f t="shared" si="4"/>
        <v>#VALUE!</v>
      </c>
      <c r="S68" s="16" t="s">
        <v>360</v>
      </c>
    </row>
    <row r="69" spans="1:19" ht="135">
      <c r="A69" s="7">
        <v>68</v>
      </c>
      <c r="B69" s="8" t="s">
        <v>364</v>
      </c>
      <c r="C69" s="9" t="s">
        <v>365</v>
      </c>
      <c r="D69" s="10" t="s">
        <v>30</v>
      </c>
      <c r="E69" s="17">
        <v>8</v>
      </c>
      <c r="F69" s="10" t="s">
        <v>31</v>
      </c>
      <c r="G69" s="9" t="s">
        <v>366</v>
      </c>
      <c r="H69" s="10"/>
      <c r="I69" s="10"/>
      <c r="J69" s="11" t="s">
        <v>367</v>
      </c>
      <c r="K69" s="12"/>
      <c r="L69" s="12" t="s">
        <v>30</v>
      </c>
      <c r="M69" s="9" t="s">
        <v>368</v>
      </c>
      <c r="N69" s="19">
        <v>8</v>
      </c>
      <c r="O69" s="12">
        <v>0</v>
      </c>
      <c r="P69" s="19">
        <f t="shared" si="3"/>
        <v>8</v>
      </c>
      <c r="Q69" s="19" t="e">
        <f t="shared" si="5"/>
        <v>#VALUE!</v>
      </c>
      <c r="R69" s="15" t="e">
        <f t="shared" si="4"/>
        <v>#VALUE!</v>
      </c>
      <c r="S69" s="9" t="s">
        <v>369</v>
      </c>
    </row>
    <row r="70" spans="1:19" ht="120">
      <c r="A70" s="7">
        <v>69</v>
      </c>
      <c r="B70" s="8" t="s">
        <v>370</v>
      </c>
      <c r="C70" s="9" t="s">
        <v>371</v>
      </c>
      <c r="D70" s="10" t="s">
        <v>30</v>
      </c>
      <c r="E70" s="17">
        <v>8</v>
      </c>
      <c r="F70" s="10" t="s">
        <v>31</v>
      </c>
      <c r="G70" s="9" t="s">
        <v>372</v>
      </c>
      <c r="H70" s="10"/>
      <c r="I70" s="10"/>
      <c r="J70" s="11" t="s">
        <v>373</v>
      </c>
      <c r="K70" s="12"/>
      <c r="L70" s="12" t="s">
        <v>30</v>
      </c>
      <c r="M70" s="9" t="s">
        <v>368</v>
      </c>
      <c r="N70" s="19">
        <v>8</v>
      </c>
      <c r="O70" s="12">
        <v>0</v>
      </c>
      <c r="P70" s="19">
        <f t="shared" si="3"/>
        <v>8</v>
      </c>
      <c r="Q70" s="19" t="e">
        <f t="shared" si="5"/>
        <v>#VALUE!</v>
      </c>
      <c r="R70" s="15" t="e">
        <f t="shared" si="4"/>
        <v>#VALUE!</v>
      </c>
      <c r="S70" s="9" t="s">
        <v>374</v>
      </c>
    </row>
    <row r="71" spans="1:19" ht="60">
      <c r="A71" s="7">
        <v>70</v>
      </c>
      <c r="B71" s="8" t="s">
        <v>375</v>
      </c>
      <c r="C71" s="9" t="s">
        <v>376</v>
      </c>
      <c r="D71" s="10" t="s">
        <v>30</v>
      </c>
      <c r="E71" s="17">
        <v>8</v>
      </c>
      <c r="F71" s="10" t="s">
        <v>31</v>
      </c>
      <c r="G71" s="9" t="s">
        <v>377</v>
      </c>
      <c r="H71" s="10"/>
      <c r="I71" s="10"/>
      <c r="J71" s="18" t="s">
        <v>378</v>
      </c>
      <c r="K71" s="12"/>
      <c r="L71" s="12" t="s">
        <v>30</v>
      </c>
      <c r="M71" s="9" t="s">
        <v>368</v>
      </c>
      <c r="N71" s="19">
        <v>8</v>
      </c>
      <c r="O71" s="12">
        <v>0</v>
      </c>
      <c r="P71" s="19">
        <f t="shared" si="3"/>
        <v>8</v>
      </c>
      <c r="Q71" s="19" t="e">
        <f t="shared" si="5"/>
        <v>#VALUE!</v>
      </c>
      <c r="R71" s="15" t="e">
        <f t="shared" si="4"/>
        <v>#VALUE!</v>
      </c>
      <c r="S71" s="9" t="s">
        <v>379</v>
      </c>
    </row>
    <row r="72" spans="1:19" ht="150">
      <c r="A72" s="7">
        <v>71</v>
      </c>
      <c r="B72" s="8" t="s">
        <v>380</v>
      </c>
      <c r="C72" s="9" t="s">
        <v>381</v>
      </c>
      <c r="D72" s="10" t="s">
        <v>30</v>
      </c>
      <c r="E72" s="17">
        <v>8</v>
      </c>
      <c r="F72" s="10" t="s">
        <v>31</v>
      </c>
      <c r="G72" s="9" t="s">
        <v>382</v>
      </c>
      <c r="H72" s="10"/>
      <c r="I72" s="10"/>
      <c r="J72" s="11" t="s">
        <v>383</v>
      </c>
      <c r="K72" s="12"/>
      <c r="L72" s="12" t="s">
        <v>30</v>
      </c>
      <c r="M72" s="16" t="s">
        <v>384</v>
      </c>
      <c r="N72" s="19">
        <v>8</v>
      </c>
      <c r="O72" s="12">
        <v>0</v>
      </c>
      <c r="P72" s="19">
        <f t="shared" si="3"/>
        <v>8</v>
      </c>
      <c r="Q72" s="19" t="e">
        <f t="shared" si="5"/>
        <v>#VALUE!</v>
      </c>
      <c r="R72" s="15" t="e">
        <f t="shared" si="4"/>
        <v>#VALUE!</v>
      </c>
      <c r="S72" s="16" t="s">
        <v>385</v>
      </c>
    </row>
    <row r="73" spans="1:19" ht="60">
      <c r="A73" s="7">
        <v>72</v>
      </c>
      <c r="B73" s="8" t="s">
        <v>386</v>
      </c>
      <c r="C73" s="9" t="s">
        <v>387</v>
      </c>
      <c r="D73" s="10" t="s">
        <v>30</v>
      </c>
      <c r="E73" s="17">
        <v>8</v>
      </c>
      <c r="F73" s="10" t="s">
        <v>31</v>
      </c>
      <c r="G73" s="9" t="s">
        <v>388</v>
      </c>
      <c r="H73" s="10"/>
      <c r="I73" s="10"/>
      <c r="J73" s="11" t="s">
        <v>389</v>
      </c>
      <c r="K73" s="12"/>
      <c r="L73" s="12" t="s">
        <v>30</v>
      </c>
      <c r="M73" s="9" t="s">
        <v>368</v>
      </c>
      <c r="N73" s="19">
        <v>8</v>
      </c>
      <c r="O73" s="12">
        <v>0</v>
      </c>
      <c r="P73" s="19">
        <f t="shared" si="3"/>
        <v>8</v>
      </c>
      <c r="Q73" s="19" t="e">
        <f t="shared" si="5"/>
        <v>#VALUE!</v>
      </c>
      <c r="R73" s="15" t="e">
        <f t="shared" si="4"/>
        <v>#VALUE!</v>
      </c>
      <c r="S73" s="9" t="s">
        <v>390</v>
      </c>
    </row>
    <row r="74" spans="1:19" ht="225">
      <c r="A74" s="7">
        <v>73</v>
      </c>
      <c r="B74" s="8" t="s">
        <v>391</v>
      </c>
      <c r="C74" s="9" t="s">
        <v>392</v>
      </c>
      <c r="D74" s="10" t="s">
        <v>30</v>
      </c>
      <c r="E74" s="17">
        <v>8</v>
      </c>
      <c r="F74" s="10" t="s">
        <v>31</v>
      </c>
      <c r="G74" s="9" t="s">
        <v>393</v>
      </c>
      <c r="H74" s="10"/>
      <c r="I74" s="10"/>
      <c r="J74" s="18" t="s">
        <v>394</v>
      </c>
      <c r="K74" s="12"/>
      <c r="L74" s="13" t="s">
        <v>30</v>
      </c>
      <c r="M74" s="9" t="s">
        <v>368</v>
      </c>
      <c r="N74" s="15">
        <v>8</v>
      </c>
      <c r="O74" s="13">
        <v>0</v>
      </c>
      <c r="P74" s="15">
        <f t="shared" si="3"/>
        <v>8</v>
      </c>
      <c r="Q74" s="19" t="e">
        <f t="shared" si="5"/>
        <v>#VALUE!</v>
      </c>
      <c r="R74" s="15" t="e">
        <f t="shared" si="4"/>
        <v>#VALUE!</v>
      </c>
      <c r="S74" s="9" t="s">
        <v>395</v>
      </c>
    </row>
    <row r="75" spans="1:19" ht="105">
      <c r="A75" s="7">
        <v>74</v>
      </c>
      <c r="B75" s="8" t="s">
        <v>396</v>
      </c>
      <c r="C75" s="9" t="s">
        <v>397</v>
      </c>
      <c r="D75" s="10" t="s">
        <v>30</v>
      </c>
      <c r="E75" s="17">
        <v>8</v>
      </c>
      <c r="F75" s="10" t="s">
        <v>31</v>
      </c>
      <c r="G75" s="9" t="s">
        <v>398</v>
      </c>
      <c r="H75" s="10"/>
      <c r="I75" s="10"/>
      <c r="J75" s="18" t="s">
        <v>399</v>
      </c>
      <c r="K75" s="12"/>
      <c r="L75" s="12" t="s">
        <v>30</v>
      </c>
      <c r="M75" s="9" t="s">
        <v>368</v>
      </c>
      <c r="N75" s="19">
        <v>8</v>
      </c>
      <c r="O75" s="12">
        <v>0</v>
      </c>
      <c r="P75" s="19">
        <f t="shared" si="3"/>
        <v>8</v>
      </c>
      <c r="Q75" s="19" t="e">
        <f t="shared" si="5"/>
        <v>#VALUE!</v>
      </c>
      <c r="R75" s="15" t="e">
        <f t="shared" si="4"/>
        <v>#VALUE!</v>
      </c>
      <c r="S75" s="16" t="s">
        <v>400</v>
      </c>
    </row>
    <row r="76" spans="1:19" ht="105">
      <c r="A76" s="7">
        <v>75</v>
      </c>
      <c r="B76" s="8" t="s">
        <v>401</v>
      </c>
      <c r="C76" s="9" t="s">
        <v>402</v>
      </c>
      <c r="D76" s="10" t="s">
        <v>30</v>
      </c>
      <c r="E76" s="17">
        <v>10</v>
      </c>
      <c r="F76" s="10" t="s">
        <v>31</v>
      </c>
      <c r="G76" s="9" t="s">
        <v>403</v>
      </c>
      <c r="H76" s="10"/>
      <c r="I76" s="10"/>
      <c r="J76" s="11" t="s">
        <v>404</v>
      </c>
      <c r="K76" s="45" t="s">
        <v>405</v>
      </c>
      <c r="L76" s="12" t="s">
        <v>30</v>
      </c>
      <c r="M76" s="16" t="s">
        <v>406</v>
      </c>
      <c r="N76" s="19">
        <v>10</v>
      </c>
      <c r="O76" s="12">
        <v>0</v>
      </c>
      <c r="P76" s="19">
        <f t="shared" si="3"/>
        <v>10</v>
      </c>
      <c r="Q76" s="19" t="e">
        <f t="shared" si="5"/>
        <v>#VALUE!</v>
      </c>
      <c r="R76" s="15" t="e">
        <f t="shared" si="4"/>
        <v>#VALUE!</v>
      </c>
      <c r="S76" s="24" t="s">
        <v>407</v>
      </c>
    </row>
    <row r="77" spans="1:19" ht="240">
      <c r="A77" s="7">
        <v>76</v>
      </c>
      <c r="B77" s="8" t="s">
        <v>408</v>
      </c>
      <c r="C77" s="9" t="s">
        <v>409</v>
      </c>
      <c r="D77" s="10" t="s">
        <v>30</v>
      </c>
      <c r="E77" s="17">
        <v>2</v>
      </c>
      <c r="F77" s="10" t="s">
        <v>31</v>
      </c>
      <c r="G77" s="9" t="s">
        <v>410</v>
      </c>
      <c r="H77" s="9" t="s">
        <v>411</v>
      </c>
      <c r="I77" s="9" t="s">
        <v>412</v>
      </c>
      <c r="J77" s="18" t="s">
        <v>413</v>
      </c>
      <c r="K77" s="46" t="s">
        <v>414</v>
      </c>
      <c r="L77" s="12" t="s">
        <v>30</v>
      </c>
      <c r="M77" s="9" t="s">
        <v>415</v>
      </c>
      <c r="N77" s="19">
        <v>2</v>
      </c>
      <c r="O77" s="12">
        <v>0</v>
      </c>
      <c r="P77" s="19">
        <f t="shared" si="3"/>
        <v>2</v>
      </c>
      <c r="Q77" s="19" t="e">
        <f t="shared" si="5"/>
        <v>#VALUE!</v>
      </c>
      <c r="R77" s="15" t="e">
        <f t="shared" si="4"/>
        <v>#VALUE!</v>
      </c>
      <c r="S77" s="9" t="s">
        <v>416</v>
      </c>
    </row>
    <row r="78" spans="1:19" ht="60">
      <c r="A78" s="7">
        <v>77</v>
      </c>
      <c r="B78" s="8" t="s">
        <v>417</v>
      </c>
      <c r="C78" s="9" t="s">
        <v>418</v>
      </c>
      <c r="D78" s="10" t="s">
        <v>30</v>
      </c>
      <c r="E78" s="17">
        <v>1</v>
      </c>
      <c r="F78" s="10" t="s">
        <v>31</v>
      </c>
      <c r="G78" s="9" t="s">
        <v>419</v>
      </c>
      <c r="H78" s="9" t="s">
        <v>420</v>
      </c>
      <c r="I78" s="9" t="s">
        <v>421</v>
      </c>
      <c r="J78" s="11" t="s">
        <v>422</v>
      </c>
      <c r="K78" s="12"/>
      <c r="L78" s="12" t="s">
        <v>30</v>
      </c>
      <c r="M78" s="16" t="s">
        <v>423</v>
      </c>
      <c r="N78" s="19">
        <v>1</v>
      </c>
      <c r="O78" s="12">
        <v>0</v>
      </c>
      <c r="P78" s="19">
        <f t="shared" si="3"/>
        <v>1</v>
      </c>
      <c r="Q78" s="19" t="e">
        <f t="shared" si="5"/>
        <v>#VALUE!</v>
      </c>
      <c r="R78" s="15" t="e">
        <f t="shared" si="4"/>
        <v>#VALUE!</v>
      </c>
      <c r="S78" s="14"/>
    </row>
    <row r="79" spans="1:19" ht="75">
      <c r="A79" s="7">
        <v>78</v>
      </c>
      <c r="B79" s="8" t="s">
        <v>424</v>
      </c>
      <c r="C79" s="21" t="s">
        <v>425</v>
      </c>
      <c r="D79" s="10" t="s">
        <v>30</v>
      </c>
      <c r="E79" s="17">
        <v>1</v>
      </c>
      <c r="F79" s="10" t="s">
        <v>31</v>
      </c>
      <c r="G79" s="9" t="s">
        <v>426</v>
      </c>
      <c r="H79" s="10"/>
      <c r="I79" s="10"/>
      <c r="J79" s="18" t="s">
        <v>427</v>
      </c>
      <c r="K79" s="12"/>
      <c r="L79" s="12" t="s">
        <v>30</v>
      </c>
      <c r="M79" s="9" t="s">
        <v>426</v>
      </c>
      <c r="N79" s="19">
        <v>1</v>
      </c>
      <c r="O79" s="12">
        <v>0</v>
      </c>
      <c r="P79" s="19">
        <f t="shared" si="3"/>
        <v>1</v>
      </c>
      <c r="Q79" s="19" t="e">
        <f t="shared" si="5"/>
        <v>#VALUE!</v>
      </c>
      <c r="R79" s="15" t="e">
        <f t="shared" si="4"/>
        <v>#VALUE!</v>
      </c>
      <c r="S79" s="9"/>
    </row>
    <row r="80" spans="1:19" ht="195">
      <c r="A80" s="7">
        <v>79</v>
      </c>
      <c r="B80" s="8" t="s">
        <v>428</v>
      </c>
      <c r="C80" s="9" t="s">
        <v>429</v>
      </c>
      <c r="D80" s="10" t="s">
        <v>30</v>
      </c>
      <c r="E80" s="10">
        <v>1</v>
      </c>
      <c r="F80" s="10" t="s">
        <v>31</v>
      </c>
      <c r="G80" s="9" t="s">
        <v>430</v>
      </c>
      <c r="H80" s="9" t="s">
        <v>431</v>
      </c>
      <c r="I80" s="9" t="s">
        <v>421</v>
      </c>
      <c r="J80" s="18" t="s">
        <v>432</v>
      </c>
      <c r="K80" s="12"/>
      <c r="L80" s="12" t="s">
        <v>30</v>
      </c>
      <c r="M80" s="16" t="s">
        <v>433</v>
      </c>
      <c r="N80" s="47" t="s">
        <v>34</v>
      </c>
      <c r="O80" s="12">
        <v>0</v>
      </c>
      <c r="P80" s="19">
        <f t="shared" si="3"/>
        <v>1</v>
      </c>
      <c r="Q80" s="19" t="e">
        <f t="shared" si="5"/>
        <v>#VALUE!</v>
      </c>
      <c r="R80" s="15" t="e">
        <f t="shared" si="4"/>
        <v>#VALUE!</v>
      </c>
      <c r="S80" s="16" t="s">
        <v>434</v>
      </c>
    </row>
    <row r="81" spans="1:19" ht="120">
      <c r="A81" s="7">
        <v>80</v>
      </c>
      <c r="B81" s="8" t="s">
        <v>435</v>
      </c>
      <c r="C81" s="9" t="s">
        <v>436</v>
      </c>
      <c r="D81" s="10" t="s">
        <v>30</v>
      </c>
      <c r="E81" s="17">
        <v>1</v>
      </c>
      <c r="F81" s="10" t="s">
        <v>31</v>
      </c>
      <c r="G81" s="9" t="s">
        <v>437</v>
      </c>
      <c r="H81" s="9" t="s">
        <v>438</v>
      </c>
      <c r="I81" s="9" t="s">
        <v>421</v>
      </c>
      <c r="J81" s="18" t="s">
        <v>404</v>
      </c>
      <c r="K81" s="48" t="s">
        <v>405</v>
      </c>
      <c r="L81" s="12" t="s">
        <v>30</v>
      </c>
      <c r="M81" s="9" t="s">
        <v>439</v>
      </c>
      <c r="N81" s="19">
        <v>1</v>
      </c>
      <c r="O81" s="12">
        <v>0</v>
      </c>
      <c r="P81" s="19">
        <f t="shared" si="3"/>
        <v>1</v>
      </c>
      <c r="Q81" s="19" t="e">
        <f t="shared" si="5"/>
        <v>#VALUE!</v>
      </c>
      <c r="R81" s="15" t="e">
        <f t="shared" si="4"/>
        <v>#VALUE!</v>
      </c>
      <c r="S81" s="9" t="s">
        <v>440</v>
      </c>
    </row>
    <row r="82" spans="1:19" ht="105">
      <c r="A82" s="7">
        <v>81</v>
      </c>
      <c r="B82" s="8" t="s">
        <v>441</v>
      </c>
      <c r="C82" s="21" t="s">
        <v>442</v>
      </c>
      <c r="D82" s="10" t="s">
        <v>30</v>
      </c>
      <c r="E82" s="17">
        <v>1</v>
      </c>
      <c r="F82" s="10" t="s">
        <v>31</v>
      </c>
      <c r="G82" s="21" t="s">
        <v>146</v>
      </c>
      <c r="H82" s="10"/>
      <c r="I82" s="10"/>
      <c r="J82" s="18" t="s">
        <v>147</v>
      </c>
      <c r="K82" s="12"/>
      <c r="L82" s="12" t="s">
        <v>30</v>
      </c>
      <c r="M82" s="16" t="s">
        <v>148</v>
      </c>
      <c r="N82" s="19">
        <v>1</v>
      </c>
      <c r="O82" s="12">
        <v>0</v>
      </c>
      <c r="P82" s="19">
        <f t="shared" si="3"/>
        <v>1</v>
      </c>
      <c r="Q82" s="19" t="e">
        <f t="shared" si="5"/>
        <v>#VALUE!</v>
      </c>
      <c r="R82" s="15" t="e">
        <f t="shared" si="4"/>
        <v>#VALUE!</v>
      </c>
      <c r="S82" s="16" t="s">
        <v>261</v>
      </c>
    </row>
    <row r="83" spans="1:19" ht="105">
      <c r="A83" s="7">
        <v>82</v>
      </c>
      <c r="B83" s="8" t="s">
        <v>443</v>
      </c>
      <c r="C83" s="21" t="s">
        <v>444</v>
      </c>
      <c r="D83" s="10" t="s">
        <v>45</v>
      </c>
      <c r="E83" s="17" t="s">
        <v>191</v>
      </c>
      <c r="F83" s="10" t="s">
        <v>65</v>
      </c>
      <c r="G83" s="21" t="s">
        <v>281</v>
      </c>
      <c r="H83" s="10"/>
      <c r="I83" s="10"/>
      <c r="J83" s="18" t="s">
        <v>445</v>
      </c>
      <c r="K83" s="12"/>
      <c r="L83" s="12" t="s">
        <v>45</v>
      </c>
      <c r="M83" s="9" t="s">
        <v>446</v>
      </c>
      <c r="N83" s="19">
        <v>12</v>
      </c>
      <c r="O83" s="12">
        <v>2</v>
      </c>
      <c r="P83" s="19">
        <f t="shared" si="3"/>
        <v>14</v>
      </c>
      <c r="Q83" s="19" t="e">
        <f t="shared" si="5"/>
        <v>#VALUE!</v>
      </c>
      <c r="R83" s="15" t="e">
        <f t="shared" si="4"/>
        <v>#VALUE!</v>
      </c>
      <c r="S83" s="16" t="s">
        <v>282</v>
      </c>
    </row>
    <row r="84" spans="1:19" ht="165">
      <c r="A84" s="7">
        <v>83</v>
      </c>
      <c r="B84" s="8" t="s">
        <v>447</v>
      </c>
      <c r="C84" s="21" t="s">
        <v>448</v>
      </c>
      <c r="D84" s="10" t="s">
        <v>45</v>
      </c>
      <c r="E84" s="17">
        <v>8</v>
      </c>
      <c r="F84" s="10" t="s">
        <v>65</v>
      </c>
      <c r="G84" s="21" t="s">
        <v>281</v>
      </c>
      <c r="H84" s="10"/>
      <c r="I84" s="10"/>
      <c r="J84" s="18" t="s">
        <v>445</v>
      </c>
      <c r="K84" s="12"/>
      <c r="L84" s="12" t="s">
        <v>45</v>
      </c>
      <c r="M84" s="16" t="s">
        <v>449</v>
      </c>
      <c r="N84" s="19">
        <v>8</v>
      </c>
      <c r="O84" s="12">
        <v>0</v>
      </c>
      <c r="P84" s="19">
        <f t="shared" si="3"/>
        <v>8</v>
      </c>
      <c r="Q84" s="19" t="e">
        <f t="shared" si="5"/>
        <v>#VALUE!</v>
      </c>
      <c r="R84" s="15" t="e">
        <f t="shared" si="4"/>
        <v>#VALUE!</v>
      </c>
      <c r="S84" s="16" t="s">
        <v>282</v>
      </c>
    </row>
    <row r="85" spans="1:19" ht="75">
      <c r="A85" s="7">
        <v>84</v>
      </c>
      <c r="B85" s="8" t="s">
        <v>450</v>
      </c>
      <c r="C85" s="21" t="s">
        <v>451</v>
      </c>
      <c r="D85" s="10" t="s">
        <v>45</v>
      </c>
      <c r="E85" s="17">
        <v>5</v>
      </c>
      <c r="F85" s="10" t="s">
        <v>65</v>
      </c>
      <c r="G85" s="21" t="s">
        <v>281</v>
      </c>
      <c r="H85" s="10"/>
      <c r="I85" s="10"/>
      <c r="J85" s="18" t="s">
        <v>445</v>
      </c>
      <c r="K85" s="12"/>
      <c r="L85" s="12" t="s">
        <v>45</v>
      </c>
      <c r="M85" s="9" t="s">
        <v>446</v>
      </c>
      <c r="N85" s="19">
        <v>5</v>
      </c>
      <c r="O85" s="12">
        <v>0</v>
      </c>
      <c r="P85" s="19">
        <f t="shared" si="3"/>
        <v>5</v>
      </c>
      <c r="Q85" s="19" t="e">
        <f t="shared" si="5"/>
        <v>#VALUE!</v>
      </c>
      <c r="R85" s="15" t="e">
        <f t="shared" si="4"/>
        <v>#VALUE!</v>
      </c>
      <c r="S85" s="16" t="s">
        <v>282</v>
      </c>
    </row>
    <row r="86" spans="1:19" ht="105">
      <c r="A86" s="7">
        <v>85</v>
      </c>
      <c r="B86" s="8" t="s">
        <v>452</v>
      </c>
      <c r="C86" s="21" t="s">
        <v>453</v>
      </c>
      <c r="D86" s="10" t="s">
        <v>45</v>
      </c>
      <c r="E86" s="17">
        <v>8</v>
      </c>
      <c r="F86" s="10" t="s">
        <v>65</v>
      </c>
      <c r="G86" s="21" t="s">
        <v>281</v>
      </c>
      <c r="H86" s="10"/>
      <c r="I86" s="10"/>
      <c r="J86" s="18" t="s">
        <v>445</v>
      </c>
      <c r="K86" s="12"/>
      <c r="L86" s="12" t="s">
        <v>45</v>
      </c>
      <c r="M86" s="16" t="s">
        <v>449</v>
      </c>
      <c r="N86" s="19">
        <v>8</v>
      </c>
      <c r="O86" s="12">
        <v>0</v>
      </c>
      <c r="P86" s="19">
        <f t="shared" si="3"/>
        <v>8</v>
      </c>
      <c r="Q86" s="19" t="e">
        <f t="shared" si="5"/>
        <v>#VALUE!</v>
      </c>
      <c r="R86" s="15" t="e">
        <f t="shared" si="4"/>
        <v>#VALUE!</v>
      </c>
      <c r="S86" s="16" t="s">
        <v>282</v>
      </c>
    </row>
    <row r="87" spans="1:19" ht="135">
      <c r="A87" s="7">
        <v>86</v>
      </c>
      <c r="B87" s="8" t="s">
        <v>454</v>
      </c>
      <c r="C87" s="21" t="s">
        <v>455</v>
      </c>
      <c r="D87" s="10" t="s">
        <v>45</v>
      </c>
      <c r="E87" s="17">
        <v>3</v>
      </c>
      <c r="F87" s="10" t="s">
        <v>65</v>
      </c>
      <c r="G87" s="21" t="s">
        <v>281</v>
      </c>
      <c r="H87" s="10"/>
      <c r="I87" s="10"/>
      <c r="J87" s="18" t="s">
        <v>456</v>
      </c>
      <c r="K87" s="12"/>
      <c r="L87" s="12" t="s">
        <v>45</v>
      </c>
      <c r="M87" s="9" t="s">
        <v>446</v>
      </c>
      <c r="N87" s="19">
        <v>3</v>
      </c>
      <c r="O87" s="12">
        <v>0</v>
      </c>
      <c r="P87" s="19">
        <f t="shared" si="3"/>
        <v>3</v>
      </c>
      <c r="Q87" s="19" t="e">
        <f t="shared" si="5"/>
        <v>#VALUE!</v>
      </c>
      <c r="R87" s="15" t="e">
        <f t="shared" si="4"/>
        <v>#VALUE!</v>
      </c>
      <c r="S87" s="16" t="s">
        <v>282</v>
      </c>
    </row>
    <row r="88" spans="1:19" ht="75">
      <c r="A88" s="7">
        <v>87</v>
      </c>
      <c r="B88" s="8" t="s">
        <v>457</v>
      </c>
      <c r="C88" s="21" t="s">
        <v>458</v>
      </c>
      <c r="D88" s="10" t="s">
        <v>45</v>
      </c>
      <c r="E88" s="17">
        <v>1</v>
      </c>
      <c r="F88" s="10" t="s">
        <v>31</v>
      </c>
      <c r="G88" s="21" t="s">
        <v>459</v>
      </c>
      <c r="H88" s="10"/>
      <c r="I88" s="10"/>
      <c r="J88" s="18" t="s">
        <v>460</v>
      </c>
      <c r="K88" s="49"/>
      <c r="L88" s="12" t="s">
        <v>45</v>
      </c>
      <c r="M88" s="16" t="s">
        <v>449</v>
      </c>
      <c r="N88" s="19">
        <v>1</v>
      </c>
      <c r="O88" s="12">
        <v>0</v>
      </c>
      <c r="P88" s="19">
        <f t="shared" si="3"/>
        <v>1</v>
      </c>
      <c r="Q88" s="19" t="e">
        <f t="shared" si="5"/>
        <v>#VALUE!</v>
      </c>
      <c r="R88" s="15" t="e">
        <f t="shared" si="4"/>
        <v>#VALUE!</v>
      </c>
      <c r="S88" s="16" t="s">
        <v>461</v>
      </c>
    </row>
    <row r="89" spans="1:19" ht="120">
      <c r="A89" s="7">
        <v>88</v>
      </c>
      <c r="B89" s="8" t="s">
        <v>462</v>
      </c>
      <c r="C89" s="21" t="s">
        <v>463</v>
      </c>
      <c r="D89" s="10" t="s">
        <v>30</v>
      </c>
      <c r="E89" s="17">
        <v>1</v>
      </c>
      <c r="F89" s="10" t="s">
        <v>31</v>
      </c>
      <c r="G89" s="21" t="s">
        <v>146</v>
      </c>
      <c r="H89" s="10"/>
      <c r="I89" s="10"/>
      <c r="J89" s="18" t="s">
        <v>464</v>
      </c>
      <c r="K89" s="49"/>
      <c r="L89" s="12" t="s">
        <v>30</v>
      </c>
      <c r="M89" s="16" t="s">
        <v>465</v>
      </c>
      <c r="N89" s="19">
        <v>1</v>
      </c>
      <c r="O89" s="12">
        <v>0</v>
      </c>
      <c r="P89" s="19">
        <f t="shared" si="3"/>
        <v>1</v>
      </c>
      <c r="Q89" s="19" t="e">
        <f t="shared" si="5"/>
        <v>#VALUE!</v>
      </c>
      <c r="R89" s="15" t="e">
        <f t="shared" si="4"/>
        <v>#VALUE!</v>
      </c>
      <c r="S89" s="16" t="s">
        <v>466</v>
      </c>
    </row>
    <row r="90" spans="1:19" ht="165">
      <c r="A90" s="7">
        <v>89</v>
      </c>
      <c r="B90" s="8" t="s">
        <v>467</v>
      </c>
      <c r="C90" s="21" t="s">
        <v>468</v>
      </c>
      <c r="D90" s="10" t="s">
        <v>45</v>
      </c>
      <c r="E90" s="17" t="s">
        <v>191</v>
      </c>
      <c r="F90" s="10" t="s">
        <v>31</v>
      </c>
      <c r="G90" s="21" t="s">
        <v>469</v>
      </c>
      <c r="H90" s="10"/>
      <c r="I90" s="10"/>
      <c r="J90" s="18" t="s">
        <v>470</v>
      </c>
      <c r="K90" s="49"/>
      <c r="L90" s="13" t="s">
        <v>45</v>
      </c>
      <c r="M90" s="14" t="s">
        <v>446</v>
      </c>
      <c r="N90" s="15">
        <v>12</v>
      </c>
      <c r="O90" s="13">
        <v>2</v>
      </c>
      <c r="P90" s="15">
        <f t="shared" si="3"/>
        <v>14</v>
      </c>
      <c r="Q90" s="19" t="e">
        <f t="shared" si="5"/>
        <v>#VALUE!</v>
      </c>
      <c r="R90" s="15" t="e">
        <f t="shared" si="4"/>
        <v>#VALUE!</v>
      </c>
      <c r="S90" s="14" t="s">
        <v>471</v>
      </c>
    </row>
    <row r="91" spans="1:19" ht="75">
      <c r="A91" s="7">
        <v>90</v>
      </c>
      <c r="B91" s="8" t="s">
        <v>472</v>
      </c>
      <c r="C91" s="21" t="s">
        <v>473</v>
      </c>
      <c r="D91" s="10" t="s">
        <v>45</v>
      </c>
      <c r="E91" s="17">
        <v>3</v>
      </c>
      <c r="F91" s="10" t="s">
        <v>65</v>
      </c>
      <c r="G91" s="21" t="s">
        <v>281</v>
      </c>
      <c r="H91" s="10"/>
      <c r="I91" s="10"/>
      <c r="J91" s="18" t="s">
        <v>445</v>
      </c>
      <c r="K91" s="141" t="s">
        <v>474</v>
      </c>
      <c r="L91" s="12" t="s">
        <v>45</v>
      </c>
      <c r="M91" s="9" t="s">
        <v>446</v>
      </c>
      <c r="N91" s="19">
        <v>3</v>
      </c>
      <c r="O91" s="12">
        <v>0</v>
      </c>
      <c r="P91" s="19">
        <f t="shared" si="3"/>
        <v>3</v>
      </c>
      <c r="Q91" s="19" t="e">
        <f t="shared" si="5"/>
        <v>#VALUE!</v>
      </c>
      <c r="R91" s="15" t="e">
        <f t="shared" si="4"/>
        <v>#VALUE!</v>
      </c>
      <c r="S91" s="16" t="s">
        <v>282</v>
      </c>
    </row>
    <row r="92" spans="1:19" ht="45">
      <c r="A92" s="7">
        <v>91</v>
      </c>
      <c r="B92" s="8" t="s">
        <v>475</v>
      </c>
      <c r="C92" s="21" t="s">
        <v>476</v>
      </c>
      <c r="D92" s="10" t="s">
        <v>45</v>
      </c>
      <c r="E92" s="17">
        <v>5</v>
      </c>
      <c r="F92" s="10" t="s">
        <v>65</v>
      </c>
      <c r="G92" s="21" t="s">
        <v>281</v>
      </c>
      <c r="H92" s="10"/>
      <c r="I92" s="10"/>
      <c r="J92" s="18" t="s">
        <v>445</v>
      </c>
      <c r="K92" s="141"/>
      <c r="L92" s="12" t="s">
        <v>45</v>
      </c>
      <c r="M92" s="16" t="s">
        <v>449</v>
      </c>
      <c r="N92" s="19">
        <v>5</v>
      </c>
      <c r="O92" s="12">
        <v>0</v>
      </c>
      <c r="P92" s="19">
        <f t="shared" si="3"/>
        <v>5</v>
      </c>
      <c r="Q92" s="19" t="e">
        <f t="shared" si="5"/>
        <v>#VALUE!</v>
      </c>
      <c r="R92" s="15" t="e">
        <f t="shared" si="4"/>
        <v>#VALUE!</v>
      </c>
      <c r="S92" s="16" t="s">
        <v>282</v>
      </c>
    </row>
    <row r="93" spans="1:19" ht="60">
      <c r="A93" s="7">
        <v>92</v>
      </c>
      <c r="B93" s="8" t="s">
        <v>477</v>
      </c>
      <c r="C93" s="21" t="s">
        <v>478</v>
      </c>
      <c r="D93" s="10" t="s">
        <v>45</v>
      </c>
      <c r="E93" s="17">
        <v>5</v>
      </c>
      <c r="F93" s="10" t="s">
        <v>65</v>
      </c>
      <c r="G93" s="21" t="s">
        <v>281</v>
      </c>
      <c r="H93" s="10"/>
      <c r="I93" s="10"/>
      <c r="J93" s="18" t="s">
        <v>445</v>
      </c>
      <c r="K93" s="141"/>
      <c r="L93" s="12" t="s">
        <v>45</v>
      </c>
      <c r="M93" s="9" t="s">
        <v>446</v>
      </c>
      <c r="N93" s="19">
        <v>5</v>
      </c>
      <c r="O93" s="12">
        <v>0</v>
      </c>
      <c r="P93" s="19">
        <f t="shared" si="3"/>
        <v>5</v>
      </c>
      <c r="Q93" s="19" t="e">
        <f t="shared" si="5"/>
        <v>#VALUE!</v>
      </c>
      <c r="R93" s="15" t="e">
        <f t="shared" si="4"/>
        <v>#VALUE!</v>
      </c>
      <c r="S93" s="16" t="s">
        <v>282</v>
      </c>
    </row>
    <row r="94" spans="1:19" ht="105">
      <c r="A94" s="7">
        <v>93</v>
      </c>
      <c r="B94" s="8" t="s">
        <v>479</v>
      </c>
      <c r="C94" s="21" t="s">
        <v>480</v>
      </c>
      <c r="D94" s="10" t="s">
        <v>45</v>
      </c>
      <c r="E94" s="17">
        <v>1</v>
      </c>
      <c r="F94" s="10" t="s">
        <v>65</v>
      </c>
      <c r="G94" s="21" t="s">
        <v>281</v>
      </c>
      <c r="H94" s="10"/>
      <c r="I94" s="10"/>
      <c r="J94" s="18" t="s">
        <v>445</v>
      </c>
      <c r="K94" s="141"/>
      <c r="L94" s="12" t="s">
        <v>45</v>
      </c>
      <c r="M94" s="16" t="s">
        <v>449</v>
      </c>
      <c r="N94" s="19">
        <v>1</v>
      </c>
      <c r="O94" s="12">
        <v>0</v>
      </c>
      <c r="P94" s="19">
        <f t="shared" si="3"/>
        <v>1</v>
      </c>
      <c r="Q94" s="19" t="e">
        <f t="shared" si="5"/>
        <v>#VALUE!</v>
      </c>
      <c r="R94" s="15" t="e">
        <f t="shared" si="4"/>
        <v>#VALUE!</v>
      </c>
      <c r="S94" s="16" t="s">
        <v>282</v>
      </c>
    </row>
    <row r="95" spans="1:19" ht="105">
      <c r="A95" s="7">
        <v>94</v>
      </c>
      <c r="B95" s="8" t="s">
        <v>481</v>
      </c>
      <c r="C95" s="21" t="s">
        <v>482</v>
      </c>
      <c r="D95" s="10" t="s">
        <v>45</v>
      </c>
      <c r="E95" s="17" t="s">
        <v>191</v>
      </c>
      <c r="F95" s="10" t="s">
        <v>65</v>
      </c>
      <c r="G95" s="21" t="s">
        <v>281</v>
      </c>
      <c r="H95" s="10"/>
      <c r="I95" s="10"/>
      <c r="J95" s="18" t="s">
        <v>445</v>
      </c>
      <c r="K95" s="141"/>
      <c r="L95" s="12" t="s">
        <v>45</v>
      </c>
      <c r="M95" s="9" t="s">
        <v>446</v>
      </c>
      <c r="N95" s="19">
        <v>12</v>
      </c>
      <c r="O95" s="12">
        <v>2</v>
      </c>
      <c r="P95" s="19">
        <f t="shared" si="3"/>
        <v>14</v>
      </c>
      <c r="Q95" s="19" t="e">
        <f t="shared" si="5"/>
        <v>#VALUE!</v>
      </c>
      <c r="R95" s="15" t="e">
        <f t="shared" si="4"/>
        <v>#VALUE!</v>
      </c>
      <c r="S95" s="16" t="s">
        <v>282</v>
      </c>
    </row>
    <row r="96" spans="1:19" ht="75">
      <c r="A96" s="7">
        <v>95</v>
      </c>
      <c r="B96" s="8" t="s">
        <v>483</v>
      </c>
      <c r="C96" s="21" t="s">
        <v>484</v>
      </c>
      <c r="D96" s="10" t="s">
        <v>30</v>
      </c>
      <c r="E96" s="17">
        <v>1</v>
      </c>
      <c r="F96" s="10" t="s">
        <v>31</v>
      </c>
      <c r="G96" s="21" t="s">
        <v>146</v>
      </c>
      <c r="H96" s="10"/>
      <c r="I96" s="10"/>
      <c r="J96" s="18" t="s">
        <v>147</v>
      </c>
      <c r="K96" s="50"/>
      <c r="L96" s="12" t="s">
        <v>30</v>
      </c>
      <c r="M96" s="16" t="s">
        <v>148</v>
      </c>
      <c r="N96" s="19">
        <v>1</v>
      </c>
      <c r="O96" s="12">
        <v>0</v>
      </c>
      <c r="P96" s="19">
        <f t="shared" si="3"/>
        <v>1</v>
      </c>
      <c r="Q96" s="19" t="e">
        <f t="shared" si="5"/>
        <v>#VALUE!</v>
      </c>
      <c r="R96" s="15" t="e">
        <f t="shared" si="4"/>
        <v>#VALUE!</v>
      </c>
      <c r="S96" s="16" t="s">
        <v>261</v>
      </c>
    </row>
    <row r="97" spans="1:19" ht="90">
      <c r="A97" s="7">
        <v>96</v>
      </c>
      <c r="B97" s="8" t="s">
        <v>485</v>
      </c>
      <c r="C97" s="9" t="s">
        <v>486</v>
      </c>
      <c r="D97" s="10" t="s">
        <v>45</v>
      </c>
      <c r="E97" s="17" t="s">
        <v>191</v>
      </c>
      <c r="F97" s="10" t="s">
        <v>31</v>
      </c>
      <c r="G97" s="9" t="s">
        <v>487</v>
      </c>
      <c r="H97" s="10"/>
      <c r="I97" s="10"/>
      <c r="J97" s="18" t="s">
        <v>488</v>
      </c>
      <c r="K97" s="50"/>
      <c r="L97" s="12" t="s">
        <v>45</v>
      </c>
      <c r="M97" s="9" t="s">
        <v>446</v>
      </c>
      <c r="N97" s="19">
        <v>12</v>
      </c>
      <c r="O97" s="12">
        <v>2</v>
      </c>
      <c r="P97" s="19">
        <f t="shared" si="3"/>
        <v>14</v>
      </c>
      <c r="Q97" s="19" t="e">
        <f t="shared" si="5"/>
        <v>#VALUE!</v>
      </c>
      <c r="R97" s="15" t="e">
        <f t="shared" si="4"/>
        <v>#VALUE!</v>
      </c>
      <c r="S97" s="16" t="s">
        <v>489</v>
      </c>
    </row>
    <row r="98" spans="1:19" ht="105">
      <c r="A98" s="7">
        <v>97</v>
      </c>
      <c r="B98" s="8" t="s">
        <v>490</v>
      </c>
      <c r="C98" s="9" t="s">
        <v>491</v>
      </c>
      <c r="D98" s="10" t="s">
        <v>45</v>
      </c>
      <c r="E98" s="17">
        <v>1</v>
      </c>
      <c r="F98" s="10" t="s">
        <v>31</v>
      </c>
      <c r="G98" s="9" t="s">
        <v>127</v>
      </c>
      <c r="H98" s="10"/>
      <c r="I98" s="10"/>
      <c r="J98" s="134" t="s">
        <v>492</v>
      </c>
      <c r="K98" s="141" t="s">
        <v>474</v>
      </c>
      <c r="L98" s="12" t="s">
        <v>45</v>
      </c>
      <c r="M98" s="16" t="s">
        <v>493</v>
      </c>
      <c r="N98" s="19">
        <v>1</v>
      </c>
      <c r="O98" s="12">
        <v>0</v>
      </c>
      <c r="P98" s="19">
        <f t="shared" si="3"/>
        <v>1</v>
      </c>
      <c r="Q98" s="19" t="e">
        <f t="shared" si="5"/>
        <v>#VALUE!</v>
      </c>
      <c r="R98" s="15" t="e">
        <f t="shared" si="4"/>
        <v>#VALUE!</v>
      </c>
      <c r="S98" s="16" t="s">
        <v>494</v>
      </c>
    </row>
    <row r="99" spans="1:19" ht="45">
      <c r="A99" s="7">
        <v>98</v>
      </c>
      <c r="B99" s="8" t="s">
        <v>495</v>
      </c>
      <c r="C99" s="9" t="s">
        <v>496</v>
      </c>
      <c r="D99" s="10" t="s">
        <v>45</v>
      </c>
      <c r="E99" s="17" t="s">
        <v>158</v>
      </c>
      <c r="F99" s="10" t="s">
        <v>31</v>
      </c>
      <c r="G99" s="9" t="s">
        <v>127</v>
      </c>
      <c r="H99" s="10"/>
      <c r="I99" s="10"/>
      <c r="J99" s="134"/>
      <c r="K99" s="141"/>
      <c r="L99" s="12" t="s">
        <v>45</v>
      </c>
      <c r="M99" s="9" t="s">
        <v>493</v>
      </c>
      <c r="N99" s="19">
        <v>3</v>
      </c>
      <c r="O99" s="12">
        <v>5</v>
      </c>
      <c r="P99" s="19">
        <f t="shared" si="3"/>
        <v>8</v>
      </c>
      <c r="Q99" s="19" t="e">
        <f t="shared" si="5"/>
        <v>#VALUE!</v>
      </c>
      <c r="R99" s="15" t="e">
        <f t="shared" si="4"/>
        <v>#VALUE!</v>
      </c>
      <c r="S99" s="16" t="s">
        <v>494</v>
      </c>
    </row>
    <row r="100" spans="1:19" ht="75">
      <c r="A100" s="7">
        <v>99</v>
      </c>
      <c r="B100" s="8" t="s">
        <v>497</v>
      </c>
      <c r="C100" s="9" t="s">
        <v>498</v>
      </c>
      <c r="D100" s="10" t="s">
        <v>45</v>
      </c>
      <c r="E100" s="17">
        <v>8</v>
      </c>
      <c r="F100" s="10" t="s">
        <v>31</v>
      </c>
      <c r="G100" s="9" t="s">
        <v>127</v>
      </c>
      <c r="H100" s="10"/>
      <c r="I100" s="10"/>
      <c r="J100" s="134"/>
      <c r="K100" s="141"/>
      <c r="L100" s="12" t="s">
        <v>45</v>
      </c>
      <c r="M100" s="16" t="s">
        <v>493</v>
      </c>
      <c r="N100" s="19">
        <v>8</v>
      </c>
      <c r="O100" s="12">
        <v>0</v>
      </c>
      <c r="P100" s="19">
        <f t="shared" si="3"/>
        <v>8</v>
      </c>
      <c r="Q100" s="19" t="e">
        <f t="shared" si="5"/>
        <v>#VALUE!</v>
      </c>
      <c r="R100" s="15" t="e">
        <f t="shared" si="4"/>
        <v>#VALUE!</v>
      </c>
      <c r="S100" s="16" t="s">
        <v>282</v>
      </c>
    </row>
    <row r="101" spans="1:19" ht="75">
      <c r="A101" s="7">
        <v>100</v>
      </c>
      <c r="B101" s="8" t="s">
        <v>499</v>
      </c>
      <c r="C101" s="9" t="s">
        <v>500</v>
      </c>
      <c r="D101" s="10" t="s">
        <v>30</v>
      </c>
      <c r="E101" s="17">
        <v>3</v>
      </c>
      <c r="F101" s="10" t="s">
        <v>31</v>
      </c>
      <c r="G101" s="9" t="s">
        <v>501</v>
      </c>
      <c r="H101" s="10"/>
      <c r="I101" s="10"/>
      <c r="J101" s="134" t="s">
        <v>502</v>
      </c>
      <c r="K101" s="108" t="s">
        <v>503</v>
      </c>
      <c r="L101" s="12" t="s">
        <v>30</v>
      </c>
      <c r="M101" s="9" t="s">
        <v>504</v>
      </c>
      <c r="N101" s="19">
        <v>3</v>
      </c>
      <c r="O101" s="12">
        <v>0</v>
      </c>
      <c r="P101" s="19">
        <f t="shared" si="3"/>
        <v>3</v>
      </c>
      <c r="Q101" s="19" t="e">
        <f t="shared" si="5"/>
        <v>#VALUE!</v>
      </c>
      <c r="R101" s="15" t="e">
        <f t="shared" si="4"/>
        <v>#VALUE!</v>
      </c>
      <c r="S101" s="16" t="s">
        <v>505</v>
      </c>
    </row>
    <row r="102" spans="1:19" ht="75">
      <c r="A102" s="7">
        <v>101</v>
      </c>
      <c r="B102" s="8" t="s">
        <v>506</v>
      </c>
      <c r="C102" s="21" t="s">
        <v>507</v>
      </c>
      <c r="D102" s="10" t="s">
        <v>30</v>
      </c>
      <c r="E102" s="17">
        <v>1</v>
      </c>
      <c r="F102" s="10" t="s">
        <v>31</v>
      </c>
      <c r="G102" s="21" t="s">
        <v>146</v>
      </c>
      <c r="H102" s="10"/>
      <c r="I102" s="10"/>
      <c r="J102" s="134"/>
      <c r="K102" s="108"/>
      <c r="L102" s="12" t="s">
        <v>30</v>
      </c>
      <c r="M102" s="16" t="s">
        <v>148</v>
      </c>
      <c r="N102" s="19">
        <v>1</v>
      </c>
      <c r="O102" s="12">
        <v>0</v>
      </c>
      <c r="P102" s="19">
        <f t="shared" si="3"/>
        <v>1</v>
      </c>
      <c r="Q102" s="19" t="e">
        <f t="shared" si="5"/>
        <v>#VALUE!</v>
      </c>
      <c r="R102" s="15" t="e">
        <f t="shared" si="4"/>
        <v>#VALUE!</v>
      </c>
      <c r="S102" s="16" t="s">
        <v>261</v>
      </c>
    </row>
    <row r="103" spans="1:19" ht="225">
      <c r="A103" s="7">
        <v>102</v>
      </c>
      <c r="B103" s="8" t="s">
        <v>508</v>
      </c>
      <c r="C103" s="9" t="s">
        <v>509</v>
      </c>
      <c r="D103" s="10" t="s">
        <v>45</v>
      </c>
      <c r="E103" s="17" t="s">
        <v>191</v>
      </c>
      <c r="F103" s="10" t="s">
        <v>31</v>
      </c>
      <c r="G103" s="9" t="s">
        <v>510</v>
      </c>
      <c r="H103" s="10"/>
      <c r="I103" s="10"/>
      <c r="J103" s="134"/>
      <c r="K103" s="108"/>
      <c r="L103" s="12" t="s">
        <v>45</v>
      </c>
      <c r="M103" s="9" t="s">
        <v>206</v>
      </c>
      <c r="N103" s="19">
        <v>12</v>
      </c>
      <c r="O103" s="12">
        <v>2</v>
      </c>
      <c r="P103" s="19">
        <f t="shared" si="3"/>
        <v>14</v>
      </c>
      <c r="Q103" s="19" t="e">
        <f t="shared" si="5"/>
        <v>#VALUE!</v>
      </c>
      <c r="R103" s="15" t="e">
        <f t="shared" si="4"/>
        <v>#VALUE!</v>
      </c>
      <c r="S103" s="9" t="s">
        <v>511</v>
      </c>
    </row>
    <row r="104" spans="1:19" ht="90">
      <c r="A104" s="7">
        <v>103</v>
      </c>
      <c r="B104" s="31" t="s">
        <v>512</v>
      </c>
      <c r="C104" s="32" t="s">
        <v>513</v>
      </c>
      <c r="D104" s="33" t="s">
        <v>45</v>
      </c>
      <c r="E104" s="34">
        <v>1</v>
      </c>
      <c r="F104" s="33" t="s">
        <v>31</v>
      </c>
      <c r="G104" s="32" t="s">
        <v>514</v>
      </c>
      <c r="H104" s="33"/>
      <c r="I104" s="33"/>
      <c r="J104" s="134"/>
      <c r="K104" s="108"/>
      <c r="L104" s="12" t="s">
        <v>45</v>
      </c>
      <c r="M104" s="21" t="s">
        <v>515</v>
      </c>
      <c r="N104" s="19">
        <v>1</v>
      </c>
      <c r="O104" s="12">
        <v>0</v>
      </c>
      <c r="P104" s="19">
        <f t="shared" si="3"/>
        <v>1</v>
      </c>
      <c r="Q104" s="19" t="e">
        <f t="shared" si="5"/>
        <v>#VALUE!</v>
      </c>
      <c r="R104" s="15" t="e">
        <f t="shared" si="4"/>
        <v>#VALUE!</v>
      </c>
      <c r="S104" s="23" t="s">
        <v>516</v>
      </c>
    </row>
    <row r="105" spans="1:19" ht="165">
      <c r="A105" s="7">
        <v>104</v>
      </c>
      <c r="B105" s="8" t="s">
        <v>517</v>
      </c>
      <c r="C105" s="9" t="s">
        <v>518</v>
      </c>
      <c r="D105" s="10" t="s">
        <v>30</v>
      </c>
      <c r="E105" s="17">
        <v>3</v>
      </c>
      <c r="F105" s="10" t="s">
        <v>31</v>
      </c>
      <c r="G105" s="9" t="s">
        <v>519</v>
      </c>
      <c r="H105" s="10"/>
      <c r="I105" s="10"/>
      <c r="J105" s="18" t="s">
        <v>520</v>
      </c>
      <c r="K105" s="123" t="s">
        <v>521</v>
      </c>
      <c r="L105" s="12" t="s">
        <v>30</v>
      </c>
      <c r="M105" s="9" t="s">
        <v>522</v>
      </c>
      <c r="N105" s="19">
        <v>3</v>
      </c>
      <c r="O105" s="12">
        <v>0</v>
      </c>
      <c r="P105" s="19">
        <f t="shared" si="3"/>
        <v>3</v>
      </c>
      <c r="Q105" s="19" t="e">
        <f t="shared" si="5"/>
        <v>#VALUE!</v>
      </c>
      <c r="R105" s="15" t="e">
        <f t="shared" si="4"/>
        <v>#VALUE!</v>
      </c>
      <c r="S105" s="16" t="s">
        <v>523</v>
      </c>
    </row>
    <row r="106" spans="1:19" ht="75">
      <c r="A106" s="7">
        <v>105</v>
      </c>
      <c r="B106" s="8" t="s">
        <v>524</v>
      </c>
      <c r="C106" s="21" t="s">
        <v>507</v>
      </c>
      <c r="D106" s="10" t="s">
        <v>30</v>
      </c>
      <c r="E106" s="17">
        <v>1</v>
      </c>
      <c r="F106" s="10" t="s">
        <v>31</v>
      </c>
      <c r="G106" s="21" t="s">
        <v>146</v>
      </c>
      <c r="H106" s="10"/>
      <c r="I106" s="10"/>
      <c r="J106" s="18"/>
      <c r="K106" s="123"/>
      <c r="L106" s="12" t="s">
        <v>30</v>
      </c>
      <c r="M106" s="16" t="s">
        <v>148</v>
      </c>
      <c r="N106" s="19">
        <v>1</v>
      </c>
      <c r="O106" s="12">
        <v>0</v>
      </c>
      <c r="P106" s="19">
        <f t="shared" si="3"/>
        <v>1</v>
      </c>
      <c r="Q106" s="19" t="e">
        <f t="shared" si="5"/>
        <v>#VALUE!</v>
      </c>
      <c r="R106" s="15" t="e">
        <f t="shared" si="4"/>
        <v>#VALUE!</v>
      </c>
      <c r="S106" s="16" t="s">
        <v>261</v>
      </c>
    </row>
    <row r="107" spans="1:19" ht="75">
      <c r="A107" s="7">
        <v>106</v>
      </c>
      <c r="B107" s="8" t="s">
        <v>525</v>
      </c>
      <c r="C107" s="9" t="s">
        <v>526</v>
      </c>
      <c r="D107" s="10" t="s">
        <v>45</v>
      </c>
      <c r="E107" s="17" t="s">
        <v>191</v>
      </c>
      <c r="F107" s="10" t="s">
        <v>31</v>
      </c>
      <c r="G107" s="9" t="s">
        <v>527</v>
      </c>
      <c r="H107" s="10"/>
      <c r="I107" s="10"/>
      <c r="J107" s="18" t="s">
        <v>528</v>
      </c>
      <c r="K107" s="123"/>
      <c r="L107" s="12" t="s">
        <v>45</v>
      </c>
      <c r="M107" s="9" t="s">
        <v>127</v>
      </c>
      <c r="N107" s="19">
        <v>12</v>
      </c>
      <c r="O107" s="12">
        <v>2</v>
      </c>
      <c r="P107" s="19">
        <f t="shared" si="3"/>
        <v>14</v>
      </c>
      <c r="Q107" s="19" t="e">
        <f t="shared" si="5"/>
        <v>#VALUE!</v>
      </c>
      <c r="R107" s="15" t="e">
        <f t="shared" si="4"/>
        <v>#VALUE!</v>
      </c>
      <c r="S107" s="9" t="s">
        <v>529</v>
      </c>
    </row>
    <row r="108" spans="1:19" ht="90">
      <c r="A108" s="7">
        <v>107</v>
      </c>
      <c r="B108" s="31" t="s">
        <v>530</v>
      </c>
      <c r="C108" s="32" t="s">
        <v>531</v>
      </c>
      <c r="D108" s="33" t="s">
        <v>30</v>
      </c>
      <c r="E108" s="34">
        <v>1</v>
      </c>
      <c r="F108" s="33" t="s">
        <v>31</v>
      </c>
      <c r="G108" s="32" t="s">
        <v>514</v>
      </c>
      <c r="H108" s="33"/>
      <c r="I108" s="33"/>
      <c r="J108" s="18"/>
      <c r="K108" s="123"/>
      <c r="L108" s="12" t="s">
        <v>30</v>
      </c>
      <c r="M108" s="24" t="s">
        <v>515</v>
      </c>
      <c r="N108" s="19">
        <v>1</v>
      </c>
      <c r="O108" s="12">
        <v>0</v>
      </c>
      <c r="P108" s="19">
        <f t="shared" si="3"/>
        <v>1</v>
      </c>
      <c r="Q108" s="19" t="e">
        <f t="shared" si="5"/>
        <v>#VALUE!</v>
      </c>
      <c r="R108" s="15" t="e">
        <f t="shared" si="4"/>
        <v>#VALUE!</v>
      </c>
      <c r="S108" s="23" t="s">
        <v>516</v>
      </c>
    </row>
    <row r="109" spans="1:19" ht="180">
      <c r="A109" s="7">
        <v>108</v>
      </c>
      <c r="B109" s="31" t="s">
        <v>532</v>
      </c>
      <c r="C109" s="32" t="s">
        <v>533</v>
      </c>
      <c r="D109" s="33" t="s">
        <v>30</v>
      </c>
      <c r="E109" s="34">
        <v>3</v>
      </c>
      <c r="F109" s="33" t="s">
        <v>31</v>
      </c>
      <c r="G109" s="32" t="s">
        <v>534</v>
      </c>
      <c r="H109" s="33"/>
      <c r="I109" s="33"/>
      <c r="J109" s="18" t="s">
        <v>535</v>
      </c>
      <c r="K109" s="109" t="s">
        <v>536</v>
      </c>
      <c r="L109" s="12" t="s">
        <v>30</v>
      </c>
      <c r="M109" s="9" t="s">
        <v>537</v>
      </c>
      <c r="N109" s="19">
        <v>3</v>
      </c>
      <c r="O109" s="12">
        <v>0</v>
      </c>
      <c r="P109" s="19">
        <f t="shared" si="3"/>
        <v>3</v>
      </c>
      <c r="Q109" s="19" t="e">
        <f t="shared" si="5"/>
        <v>#VALUE!</v>
      </c>
      <c r="R109" s="15" t="e">
        <f t="shared" si="4"/>
        <v>#VALUE!</v>
      </c>
      <c r="S109" s="24" t="s">
        <v>538</v>
      </c>
    </row>
    <row r="110" spans="1:19" ht="75">
      <c r="A110" s="7">
        <v>109</v>
      </c>
      <c r="B110" s="8" t="s">
        <v>539</v>
      </c>
      <c r="C110" s="21" t="s">
        <v>507</v>
      </c>
      <c r="D110" s="10" t="s">
        <v>30</v>
      </c>
      <c r="E110" s="17">
        <v>1</v>
      </c>
      <c r="F110" s="10" t="s">
        <v>31</v>
      </c>
      <c r="G110" s="21" t="s">
        <v>146</v>
      </c>
      <c r="H110" s="10"/>
      <c r="I110" s="10"/>
      <c r="J110" s="18"/>
      <c r="K110" s="109"/>
      <c r="L110" s="12" t="s">
        <v>30</v>
      </c>
      <c r="M110" s="16" t="s">
        <v>148</v>
      </c>
      <c r="N110" s="19">
        <v>1</v>
      </c>
      <c r="O110" s="12">
        <v>0</v>
      </c>
      <c r="P110" s="19">
        <f t="shared" si="3"/>
        <v>1</v>
      </c>
      <c r="Q110" s="19" t="e">
        <f t="shared" si="5"/>
        <v>#VALUE!</v>
      </c>
      <c r="R110" s="15" t="e">
        <f t="shared" si="4"/>
        <v>#VALUE!</v>
      </c>
      <c r="S110" s="16" t="s">
        <v>261</v>
      </c>
    </row>
    <row r="111" spans="1:19" ht="150">
      <c r="A111" s="7">
        <v>110</v>
      </c>
      <c r="B111" s="8" t="s">
        <v>540</v>
      </c>
      <c r="C111" s="9" t="s">
        <v>541</v>
      </c>
      <c r="D111" s="10" t="s">
        <v>45</v>
      </c>
      <c r="E111" s="17" t="s">
        <v>191</v>
      </c>
      <c r="F111" s="10" t="s">
        <v>31</v>
      </c>
      <c r="G111" s="9" t="s">
        <v>542</v>
      </c>
      <c r="H111" s="10"/>
      <c r="I111" s="10"/>
      <c r="J111" s="18" t="s">
        <v>543</v>
      </c>
      <c r="K111" s="109"/>
      <c r="L111" s="12" t="s">
        <v>45</v>
      </c>
      <c r="M111" s="9" t="s">
        <v>127</v>
      </c>
      <c r="N111" s="19">
        <v>12</v>
      </c>
      <c r="O111" s="12">
        <v>2</v>
      </c>
      <c r="P111" s="19">
        <f t="shared" si="3"/>
        <v>14</v>
      </c>
      <c r="Q111" s="19" t="e">
        <f t="shared" si="5"/>
        <v>#VALUE!</v>
      </c>
      <c r="R111" s="15" t="e">
        <f t="shared" si="4"/>
        <v>#VALUE!</v>
      </c>
      <c r="S111" s="9" t="s">
        <v>544</v>
      </c>
    </row>
    <row r="112" spans="1:19" ht="105">
      <c r="A112" s="7">
        <v>111</v>
      </c>
      <c r="B112" s="31" t="s">
        <v>545</v>
      </c>
      <c r="C112" s="32" t="s">
        <v>546</v>
      </c>
      <c r="D112" s="33" t="s">
        <v>30</v>
      </c>
      <c r="E112" s="34">
        <v>1</v>
      </c>
      <c r="F112" s="33" t="s">
        <v>31</v>
      </c>
      <c r="G112" s="32" t="s">
        <v>514</v>
      </c>
      <c r="H112" s="33"/>
      <c r="I112" s="33"/>
      <c r="J112" s="18" t="s">
        <v>547</v>
      </c>
      <c r="K112" s="109"/>
      <c r="L112" s="12" t="s">
        <v>30</v>
      </c>
      <c r="M112" s="24" t="s">
        <v>515</v>
      </c>
      <c r="N112" s="19">
        <v>1</v>
      </c>
      <c r="O112" s="12">
        <v>0</v>
      </c>
      <c r="P112" s="19">
        <f t="shared" si="3"/>
        <v>1</v>
      </c>
      <c r="Q112" s="19" t="e">
        <f t="shared" si="5"/>
        <v>#VALUE!</v>
      </c>
      <c r="R112" s="15" t="e">
        <f t="shared" si="4"/>
        <v>#VALUE!</v>
      </c>
      <c r="S112" s="23" t="s">
        <v>548</v>
      </c>
    </row>
    <row r="113" spans="1:19" ht="105">
      <c r="A113" s="7">
        <v>112</v>
      </c>
      <c r="B113" s="8" t="s">
        <v>549</v>
      </c>
      <c r="C113" s="9" t="s">
        <v>550</v>
      </c>
      <c r="D113" s="10" t="s">
        <v>30</v>
      </c>
      <c r="E113" s="17">
        <v>3</v>
      </c>
      <c r="F113" s="10" t="s">
        <v>31</v>
      </c>
      <c r="G113" s="9" t="s">
        <v>551</v>
      </c>
      <c r="H113" s="10"/>
      <c r="I113" s="10"/>
      <c r="J113" s="18" t="s">
        <v>552</v>
      </c>
      <c r="K113" s="133" t="s">
        <v>553</v>
      </c>
      <c r="L113" s="12" t="s">
        <v>30</v>
      </c>
      <c r="M113" s="9" t="s">
        <v>554</v>
      </c>
      <c r="N113" s="19">
        <v>3</v>
      </c>
      <c r="O113" s="12">
        <v>0</v>
      </c>
      <c r="P113" s="19">
        <f t="shared" si="3"/>
        <v>3</v>
      </c>
      <c r="Q113" s="19" t="e">
        <f t="shared" si="5"/>
        <v>#VALUE!</v>
      </c>
      <c r="R113" s="15" t="e">
        <f t="shared" si="4"/>
        <v>#VALUE!</v>
      </c>
      <c r="S113" s="16" t="s">
        <v>555</v>
      </c>
    </row>
    <row r="114" spans="1:19" ht="75">
      <c r="A114" s="7">
        <v>113</v>
      </c>
      <c r="B114" s="8" t="s">
        <v>556</v>
      </c>
      <c r="C114" s="21" t="s">
        <v>507</v>
      </c>
      <c r="D114" s="10" t="s">
        <v>30</v>
      </c>
      <c r="E114" s="17">
        <v>1</v>
      </c>
      <c r="F114" s="10" t="s">
        <v>31</v>
      </c>
      <c r="G114" s="21" t="s">
        <v>146</v>
      </c>
      <c r="H114" s="10"/>
      <c r="I114" s="10"/>
      <c r="J114" s="18"/>
      <c r="K114" s="133"/>
      <c r="L114" s="12" t="s">
        <v>30</v>
      </c>
      <c r="M114" s="16" t="s">
        <v>148</v>
      </c>
      <c r="N114" s="19">
        <v>1</v>
      </c>
      <c r="O114" s="12">
        <v>0</v>
      </c>
      <c r="P114" s="19">
        <f t="shared" si="3"/>
        <v>1</v>
      </c>
      <c r="Q114" s="19" t="e">
        <f t="shared" si="5"/>
        <v>#VALUE!</v>
      </c>
      <c r="R114" s="15" t="e">
        <f t="shared" si="4"/>
        <v>#VALUE!</v>
      </c>
      <c r="S114" s="16" t="s">
        <v>261</v>
      </c>
    </row>
    <row r="115" spans="1:19" ht="180">
      <c r="A115" s="7">
        <v>114</v>
      </c>
      <c r="B115" s="8" t="s">
        <v>557</v>
      </c>
      <c r="C115" s="9" t="s">
        <v>558</v>
      </c>
      <c r="D115" s="10" t="s">
        <v>45</v>
      </c>
      <c r="E115" s="17" t="s">
        <v>191</v>
      </c>
      <c r="F115" s="10" t="s">
        <v>31</v>
      </c>
      <c r="G115" s="9" t="s">
        <v>559</v>
      </c>
      <c r="H115" s="10"/>
      <c r="I115" s="10"/>
      <c r="J115" s="18" t="s">
        <v>560</v>
      </c>
      <c r="K115" s="133"/>
      <c r="L115" s="12" t="s">
        <v>45</v>
      </c>
      <c r="M115" s="9" t="s">
        <v>561</v>
      </c>
      <c r="N115" s="19">
        <v>12</v>
      </c>
      <c r="O115" s="12">
        <v>2</v>
      </c>
      <c r="P115" s="19">
        <f t="shared" si="3"/>
        <v>14</v>
      </c>
      <c r="Q115" s="19" t="e">
        <f t="shared" si="5"/>
        <v>#VALUE!</v>
      </c>
      <c r="R115" s="15" t="e">
        <f t="shared" si="4"/>
        <v>#VALUE!</v>
      </c>
      <c r="S115" s="9" t="s">
        <v>562</v>
      </c>
    </row>
    <row r="116" spans="1:19" ht="105">
      <c r="A116" s="7">
        <v>115</v>
      </c>
      <c r="B116" s="31" t="s">
        <v>563</v>
      </c>
      <c r="C116" s="32" t="s">
        <v>564</v>
      </c>
      <c r="D116" s="33" t="s">
        <v>30</v>
      </c>
      <c r="E116" s="34">
        <v>1</v>
      </c>
      <c r="F116" s="33" t="s">
        <v>31</v>
      </c>
      <c r="G116" s="32" t="s">
        <v>514</v>
      </c>
      <c r="H116" s="33"/>
      <c r="I116" s="33"/>
      <c r="J116" s="18"/>
      <c r="K116" s="133"/>
      <c r="L116" s="12" t="s">
        <v>30</v>
      </c>
      <c r="M116" s="21" t="s">
        <v>515</v>
      </c>
      <c r="N116" s="19">
        <v>1</v>
      </c>
      <c r="O116" s="12">
        <v>0</v>
      </c>
      <c r="P116" s="19">
        <f t="shared" si="3"/>
        <v>1</v>
      </c>
      <c r="Q116" s="19" t="e">
        <f t="shared" si="5"/>
        <v>#VALUE!</v>
      </c>
      <c r="R116" s="15" t="e">
        <f t="shared" si="4"/>
        <v>#VALUE!</v>
      </c>
      <c r="S116" s="9" t="s">
        <v>516</v>
      </c>
    </row>
    <row r="117" spans="1:19" ht="150">
      <c r="A117" s="7">
        <v>116</v>
      </c>
      <c r="B117" s="8" t="s">
        <v>565</v>
      </c>
      <c r="C117" s="9" t="s">
        <v>566</v>
      </c>
      <c r="D117" s="10" t="s">
        <v>30</v>
      </c>
      <c r="E117" s="17">
        <v>3</v>
      </c>
      <c r="F117" s="10" t="s">
        <v>31</v>
      </c>
      <c r="G117" s="9" t="s">
        <v>567</v>
      </c>
      <c r="H117" s="10"/>
      <c r="I117" s="10"/>
      <c r="J117" s="134" t="s">
        <v>568</v>
      </c>
      <c r="K117" s="135" t="s">
        <v>569</v>
      </c>
      <c r="L117" s="12" t="s">
        <v>30</v>
      </c>
      <c r="M117" s="9" t="s">
        <v>570</v>
      </c>
      <c r="N117" s="19">
        <v>3</v>
      </c>
      <c r="O117" s="12">
        <v>0</v>
      </c>
      <c r="P117" s="19">
        <f t="shared" si="3"/>
        <v>3</v>
      </c>
      <c r="Q117" s="19" t="e">
        <f t="shared" si="5"/>
        <v>#VALUE!</v>
      </c>
      <c r="R117" s="15" t="e">
        <f t="shared" si="4"/>
        <v>#VALUE!</v>
      </c>
      <c r="S117" s="16" t="s">
        <v>571</v>
      </c>
    </row>
    <row r="118" spans="1:19" ht="75">
      <c r="A118" s="7">
        <v>117</v>
      </c>
      <c r="B118" s="8" t="s">
        <v>572</v>
      </c>
      <c r="C118" s="21" t="s">
        <v>507</v>
      </c>
      <c r="D118" s="10" t="s">
        <v>30</v>
      </c>
      <c r="E118" s="17">
        <v>1</v>
      </c>
      <c r="F118" s="10" t="s">
        <v>31</v>
      </c>
      <c r="G118" s="21" t="s">
        <v>146</v>
      </c>
      <c r="H118" s="10"/>
      <c r="I118" s="10"/>
      <c r="J118" s="134"/>
      <c r="K118" s="136"/>
      <c r="L118" s="12" t="s">
        <v>30</v>
      </c>
      <c r="M118" s="16" t="s">
        <v>148</v>
      </c>
      <c r="N118" s="19">
        <v>1</v>
      </c>
      <c r="O118" s="12">
        <v>0</v>
      </c>
      <c r="P118" s="19">
        <f t="shared" si="3"/>
        <v>1</v>
      </c>
      <c r="Q118" s="19" t="e">
        <f t="shared" si="5"/>
        <v>#VALUE!</v>
      </c>
      <c r="R118" s="15" t="e">
        <f t="shared" si="4"/>
        <v>#VALUE!</v>
      </c>
      <c r="S118" s="16" t="s">
        <v>261</v>
      </c>
    </row>
    <row r="119" spans="1:19" ht="150">
      <c r="A119" s="7">
        <v>118</v>
      </c>
      <c r="B119" s="8" t="s">
        <v>573</v>
      </c>
      <c r="C119" s="9" t="s">
        <v>574</v>
      </c>
      <c r="D119" s="10" t="s">
        <v>45</v>
      </c>
      <c r="E119" s="17" t="s">
        <v>191</v>
      </c>
      <c r="F119" s="10" t="s">
        <v>31</v>
      </c>
      <c r="G119" s="9" t="s">
        <v>575</v>
      </c>
      <c r="H119" s="10"/>
      <c r="I119" s="10"/>
      <c r="J119" s="134"/>
      <c r="K119" s="136"/>
      <c r="L119" s="12" t="s">
        <v>45</v>
      </c>
      <c r="M119" s="9" t="s">
        <v>127</v>
      </c>
      <c r="N119" s="19">
        <v>12</v>
      </c>
      <c r="O119" s="12">
        <v>2</v>
      </c>
      <c r="P119" s="19">
        <f t="shared" si="3"/>
        <v>14</v>
      </c>
      <c r="Q119" s="19" t="e">
        <f t="shared" si="5"/>
        <v>#VALUE!</v>
      </c>
      <c r="R119" s="15" t="e">
        <f t="shared" si="4"/>
        <v>#VALUE!</v>
      </c>
      <c r="S119" s="9" t="s">
        <v>576</v>
      </c>
    </row>
    <row r="120" spans="1:19" ht="45">
      <c r="A120" s="7">
        <v>119</v>
      </c>
      <c r="B120" s="31" t="s">
        <v>577</v>
      </c>
      <c r="C120" s="32" t="s">
        <v>578</v>
      </c>
      <c r="D120" s="33" t="s">
        <v>30</v>
      </c>
      <c r="E120" s="34">
        <v>1</v>
      </c>
      <c r="F120" s="33" t="s">
        <v>31</v>
      </c>
      <c r="G120" s="32" t="s">
        <v>514</v>
      </c>
      <c r="H120" s="33"/>
      <c r="I120" s="33"/>
      <c r="J120" s="134"/>
      <c r="K120" s="136"/>
      <c r="L120" s="12" t="s">
        <v>30</v>
      </c>
      <c r="M120" s="24" t="s">
        <v>515</v>
      </c>
      <c r="N120" s="19">
        <v>1</v>
      </c>
      <c r="O120" s="12">
        <v>0</v>
      </c>
      <c r="P120" s="19">
        <f t="shared" si="3"/>
        <v>1</v>
      </c>
      <c r="Q120" s="19" t="e">
        <f t="shared" si="5"/>
        <v>#VALUE!</v>
      </c>
      <c r="R120" s="15" t="e">
        <f t="shared" si="4"/>
        <v>#VALUE!</v>
      </c>
      <c r="S120" s="9" t="s">
        <v>516</v>
      </c>
    </row>
    <row r="121" spans="1:19" ht="105">
      <c r="A121" s="7">
        <v>120</v>
      </c>
      <c r="B121" s="31" t="s">
        <v>579</v>
      </c>
      <c r="C121" s="32" t="s">
        <v>580</v>
      </c>
      <c r="D121" s="33" t="s">
        <v>30</v>
      </c>
      <c r="E121" s="34">
        <v>3</v>
      </c>
      <c r="F121" s="33" t="s">
        <v>31</v>
      </c>
      <c r="G121" s="37" t="s">
        <v>581</v>
      </c>
      <c r="H121" s="33"/>
      <c r="I121" s="33"/>
      <c r="J121" s="18" t="s">
        <v>582</v>
      </c>
      <c r="K121" s="137" t="s">
        <v>583</v>
      </c>
      <c r="L121" s="12" t="s">
        <v>30</v>
      </c>
      <c r="M121" s="9" t="s">
        <v>581</v>
      </c>
      <c r="N121" s="19">
        <v>3</v>
      </c>
      <c r="O121" s="12">
        <v>0</v>
      </c>
      <c r="P121" s="19">
        <f t="shared" si="3"/>
        <v>3</v>
      </c>
      <c r="Q121" s="19" t="e">
        <f t="shared" si="5"/>
        <v>#VALUE!</v>
      </c>
      <c r="R121" s="15" t="e">
        <f t="shared" si="4"/>
        <v>#VALUE!</v>
      </c>
      <c r="S121" s="16" t="s">
        <v>584</v>
      </c>
    </row>
    <row r="122" spans="1:19" ht="135">
      <c r="A122" s="7">
        <v>121</v>
      </c>
      <c r="B122" s="31" t="s">
        <v>585</v>
      </c>
      <c r="C122" s="32" t="s">
        <v>586</v>
      </c>
      <c r="D122" s="33" t="s">
        <v>30</v>
      </c>
      <c r="E122" s="34">
        <v>1</v>
      </c>
      <c r="F122" s="33" t="s">
        <v>31</v>
      </c>
      <c r="G122" s="37" t="s">
        <v>146</v>
      </c>
      <c r="H122" s="33"/>
      <c r="I122" s="33"/>
      <c r="J122" s="18"/>
      <c r="K122" s="138"/>
      <c r="L122" s="12" t="s">
        <v>30</v>
      </c>
      <c r="M122" s="16" t="s">
        <v>148</v>
      </c>
      <c r="N122" s="19">
        <v>1</v>
      </c>
      <c r="O122" s="12">
        <v>0</v>
      </c>
      <c r="P122" s="19">
        <f t="shared" si="3"/>
        <v>1</v>
      </c>
      <c r="Q122" s="19" t="e">
        <f t="shared" si="5"/>
        <v>#VALUE!</v>
      </c>
      <c r="R122" s="15" t="e">
        <f t="shared" si="4"/>
        <v>#VALUE!</v>
      </c>
      <c r="S122" s="16" t="s">
        <v>261</v>
      </c>
    </row>
    <row r="123" spans="1:19" ht="150">
      <c r="A123" s="7">
        <v>122</v>
      </c>
      <c r="B123" s="31" t="s">
        <v>587</v>
      </c>
      <c r="C123" s="32" t="s">
        <v>588</v>
      </c>
      <c r="D123" s="33" t="s">
        <v>45</v>
      </c>
      <c r="E123" s="34" t="s">
        <v>191</v>
      </c>
      <c r="F123" s="33" t="s">
        <v>31</v>
      </c>
      <c r="G123" s="32" t="s">
        <v>589</v>
      </c>
      <c r="H123" s="33"/>
      <c r="I123" s="33"/>
      <c r="J123" s="18" t="s">
        <v>590</v>
      </c>
      <c r="K123" s="138"/>
      <c r="L123" s="12" t="s">
        <v>45</v>
      </c>
      <c r="M123" s="9" t="s">
        <v>206</v>
      </c>
      <c r="N123" s="19">
        <v>12</v>
      </c>
      <c r="O123" s="12">
        <v>2</v>
      </c>
      <c r="P123" s="19">
        <f t="shared" si="3"/>
        <v>14</v>
      </c>
      <c r="Q123" s="19" t="e">
        <f t="shared" si="5"/>
        <v>#VALUE!</v>
      </c>
      <c r="R123" s="15" t="e">
        <f t="shared" si="4"/>
        <v>#VALUE!</v>
      </c>
      <c r="S123" s="9" t="s">
        <v>591</v>
      </c>
    </row>
    <row r="124" spans="1:19" ht="195">
      <c r="A124" s="7">
        <v>123</v>
      </c>
      <c r="B124" s="31" t="s">
        <v>592</v>
      </c>
      <c r="C124" s="32" t="s">
        <v>593</v>
      </c>
      <c r="D124" s="33" t="s">
        <v>30</v>
      </c>
      <c r="E124" s="34">
        <v>1</v>
      </c>
      <c r="F124" s="33" t="s">
        <v>31</v>
      </c>
      <c r="G124" s="32" t="s">
        <v>514</v>
      </c>
      <c r="H124" s="33"/>
      <c r="I124" s="33"/>
      <c r="J124" s="18"/>
      <c r="K124" s="139"/>
      <c r="L124" s="12" t="s">
        <v>30</v>
      </c>
      <c r="M124" s="16" t="s">
        <v>515</v>
      </c>
      <c r="N124" s="19">
        <v>1</v>
      </c>
      <c r="O124" s="12">
        <v>0</v>
      </c>
      <c r="P124" s="19">
        <f t="shared" si="3"/>
        <v>1</v>
      </c>
      <c r="Q124" s="19" t="e">
        <f t="shared" si="5"/>
        <v>#VALUE!</v>
      </c>
      <c r="R124" s="15" t="e">
        <f t="shared" si="4"/>
        <v>#VALUE!</v>
      </c>
      <c r="S124" s="16" t="s">
        <v>516</v>
      </c>
    </row>
    <row r="125" spans="1:19" ht="90">
      <c r="A125" s="7">
        <v>124</v>
      </c>
      <c r="B125" s="31" t="s">
        <v>594</v>
      </c>
      <c r="C125" s="32" t="s">
        <v>595</v>
      </c>
      <c r="D125" s="33" t="s">
        <v>30</v>
      </c>
      <c r="E125" s="34">
        <v>3</v>
      </c>
      <c r="F125" s="33" t="s">
        <v>31</v>
      </c>
      <c r="G125" s="37" t="s">
        <v>596</v>
      </c>
      <c r="H125" s="33"/>
      <c r="I125" s="33"/>
      <c r="J125" s="18" t="s">
        <v>597</v>
      </c>
      <c r="K125" s="125" t="s">
        <v>598</v>
      </c>
      <c r="L125" s="12" t="s">
        <v>30</v>
      </c>
      <c r="M125" s="9" t="s">
        <v>599</v>
      </c>
      <c r="N125" s="19">
        <v>3</v>
      </c>
      <c r="O125" s="12">
        <v>0</v>
      </c>
      <c r="P125" s="19">
        <f t="shared" si="3"/>
        <v>3</v>
      </c>
      <c r="Q125" s="19" t="e">
        <f t="shared" si="5"/>
        <v>#VALUE!</v>
      </c>
      <c r="R125" s="15" t="e">
        <f t="shared" si="4"/>
        <v>#VALUE!</v>
      </c>
      <c r="S125" s="16" t="s">
        <v>600</v>
      </c>
    </row>
    <row r="126" spans="1:19" ht="75">
      <c r="A126" s="7">
        <v>125</v>
      </c>
      <c r="B126" s="31" t="s">
        <v>601</v>
      </c>
      <c r="C126" s="37" t="s">
        <v>507</v>
      </c>
      <c r="D126" s="33" t="s">
        <v>30</v>
      </c>
      <c r="E126" s="34">
        <v>1</v>
      </c>
      <c r="F126" s="33" t="s">
        <v>31</v>
      </c>
      <c r="G126" s="37" t="s">
        <v>146</v>
      </c>
      <c r="H126" s="33"/>
      <c r="I126" s="33"/>
      <c r="J126" s="18"/>
      <c r="K126" s="126"/>
      <c r="L126" s="12" t="s">
        <v>30</v>
      </c>
      <c r="M126" s="16" t="s">
        <v>148</v>
      </c>
      <c r="N126" s="19">
        <v>1</v>
      </c>
      <c r="O126" s="12">
        <v>0</v>
      </c>
      <c r="P126" s="19">
        <f t="shared" si="3"/>
        <v>1</v>
      </c>
      <c r="Q126" s="19" t="e">
        <f t="shared" si="5"/>
        <v>#VALUE!</v>
      </c>
      <c r="R126" s="15" t="e">
        <f t="shared" si="4"/>
        <v>#VALUE!</v>
      </c>
      <c r="S126" s="16" t="s">
        <v>261</v>
      </c>
    </row>
    <row r="127" spans="1:19" ht="135">
      <c r="A127" s="7">
        <v>126</v>
      </c>
      <c r="B127" s="31" t="s">
        <v>602</v>
      </c>
      <c r="C127" s="32" t="s">
        <v>603</v>
      </c>
      <c r="D127" s="33" t="s">
        <v>45</v>
      </c>
      <c r="E127" s="34" t="s">
        <v>191</v>
      </c>
      <c r="F127" s="33" t="s">
        <v>31</v>
      </c>
      <c r="G127" s="32" t="s">
        <v>604</v>
      </c>
      <c r="H127" s="33"/>
      <c r="I127" s="33"/>
      <c r="J127" s="18" t="s">
        <v>605</v>
      </c>
      <c r="K127" s="126"/>
      <c r="L127" s="12" t="s">
        <v>45</v>
      </c>
      <c r="M127" s="9" t="s">
        <v>206</v>
      </c>
      <c r="N127" s="19">
        <v>12</v>
      </c>
      <c r="O127" s="12">
        <v>2</v>
      </c>
      <c r="P127" s="19">
        <f t="shared" si="3"/>
        <v>14</v>
      </c>
      <c r="Q127" s="19" t="e">
        <f t="shared" si="5"/>
        <v>#VALUE!</v>
      </c>
      <c r="R127" s="15" t="e">
        <f t="shared" si="4"/>
        <v>#VALUE!</v>
      </c>
      <c r="S127" s="9" t="s">
        <v>606</v>
      </c>
    </row>
    <row r="128" spans="1:19" ht="150">
      <c r="A128" s="7">
        <v>127</v>
      </c>
      <c r="B128" s="31" t="s">
        <v>607</v>
      </c>
      <c r="C128" s="32" t="s">
        <v>608</v>
      </c>
      <c r="D128" s="33" t="s">
        <v>30</v>
      </c>
      <c r="E128" s="34">
        <v>1</v>
      </c>
      <c r="F128" s="33" t="s">
        <v>31</v>
      </c>
      <c r="G128" s="32" t="s">
        <v>514</v>
      </c>
      <c r="H128" s="33"/>
      <c r="I128" s="33"/>
      <c r="J128" s="18"/>
      <c r="K128" s="127"/>
      <c r="L128" s="12" t="s">
        <v>30</v>
      </c>
      <c r="M128" s="16" t="s">
        <v>515</v>
      </c>
      <c r="N128" s="19">
        <v>1</v>
      </c>
      <c r="O128" s="12">
        <v>0</v>
      </c>
      <c r="P128" s="19">
        <f t="shared" si="3"/>
        <v>1</v>
      </c>
      <c r="Q128" s="19" t="e">
        <f t="shared" si="5"/>
        <v>#VALUE!</v>
      </c>
      <c r="R128" s="15" t="e">
        <f t="shared" si="4"/>
        <v>#VALUE!</v>
      </c>
      <c r="S128" s="16" t="s">
        <v>516</v>
      </c>
    </row>
    <row r="129" spans="1:19" ht="60">
      <c r="A129" s="7">
        <v>128</v>
      </c>
      <c r="B129" s="8" t="s">
        <v>609</v>
      </c>
      <c r="C129" s="21" t="s">
        <v>610</v>
      </c>
      <c r="D129" s="10" t="s">
        <v>30</v>
      </c>
      <c r="E129" s="17">
        <v>1</v>
      </c>
      <c r="F129" s="10" t="s">
        <v>31</v>
      </c>
      <c r="G129" s="21" t="s">
        <v>146</v>
      </c>
      <c r="H129" s="10"/>
      <c r="I129" s="10"/>
      <c r="J129" s="18"/>
      <c r="K129" s="12"/>
      <c r="L129" s="12" t="s">
        <v>30</v>
      </c>
      <c r="M129" s="16" t="s">
        <v>148</v>
      </c>
      <c r="N129" s="19">
        <v>1</v>
      </c>
      <c r="O129" s="12">
        <v>0</v>
      </c>
      <c r="P129" s="19">
        <f t="shared" si="3"/>
        <v>1</v>
      </c>
      <c r="Q129" s="19" t="e">
        <f t="shared" si="5"/>
        <v>#VALUE!</v>
      </c>
      <c r="R129" s="15" t="e">
        <f t="shared" si="4"/>
        <v>#VALUE!</v>
      </c>
      <c r="S129" s="16" t="s">
        <v>261</v>
      </c>
    </row>
    <row r="130" spans="1:19" ht="105">
      <c r="A130" s="7">
        <v>129</v>
      </c>
      <c r="B130" s="8" t="s">
        <v>611</v>
      </c>
      <c r="C130" s="9" t="s">
        <v>612</v>
      </c>
      <c r="D130" s="10" t="s">
        <v>45</v>
      </c>
      <c r="E130" s="17" t="s">
        <v>191</v>
      </c>
      <c r="F130" s="10" t="s">
        <v>31</v>
      </c>
      <c r="G130" s="9" t="s">
        <v>613</v>
      </c>
      <c r="H130" s="10"/>
      <c r="I130" s="10"/>
      <c r="J130" s="18" t="s">
        <v>614</v>
      </c>
      <c r="K130" s="12"/>
      <c r="L130" s="12" t="s">
        <v>45</v>
      </c>
      <c r="M130" s="9"/>
      <c r="N130" s="19">
        <v>12</v>
      </c>
      <c r="O130" s="12">
        <v>2</v>
      </c>
      <c r="P130" s="19">
        <f t="shared" ref="P130:P193" si="6">+N130+O130</f>
        <v>14</v>
      </c>
      <c r="Q130" s="19" t="e">
        <f t="shared" si="5"/>
        <v>#VALUE!</v>
      </c>
      <c r="R130" s="15" t="e">
        <f t="shared" si="4"/>
        <v>#VALUE!</v>
      </c>
      <c r="S130" s="9" t="s">
        <v>615</v>
      </c>
    </row>
    <row r="131" spans="1:19" ht="120">
      <c r="A131" s="7">
        <v>130</v>
      </c>
      <c r="B131" s="8" t="s">
        <v>616</v>
      </c>
      <c r="C131" s="21" t="s">
        <v>617</v>
      </c>
      <c r="D131" s="10" t="s">
        <v>30</v>
      </c>
      <c r="E131" s="17">
        <v>1</v>
      </c>
      <c r="F131" s="10" t="s">
        <v>31</v>
      </c>
      <c r="G131" s="21" t="s">
        <v>146</v>
      </c>
      <c r="H131" s="10"/>
      <c r="I131" s="10"/>
      <c r="J131" s="18"/>
      <c r="K131" s="12"/>
      <c r="L131" s="12" t="s">
        <v>30</v>
      </c>
      <c r="M131" s="16" t="s">
        <v>148</v>
      </c>
      <c r="N131" s="19">
        <v>1</v>
      </c>
      <c r="O131" s="12">
        <v>0</v>
      </c>
      <c r="P131" s="19">
        <f t="shared" si="6"/>
        <v>1</v>
      </c>
      <c r="Q131" s="19" t="e">
        <f t="shared" si="5"/>
        <v>#VALUE!</v>
      </c>
      <c r="R131" s="15" t="e">
        <f t="shared" ref="R131:R194" si="7">Q131+P131-1</f>
        <v>#VALUE!</v>
      </c>
      <c r="S131" s="16" t="s">
        <v>261</v>
      </c>
    </row>
    <row r="132" spans="1:19" ht="135">
      <c r="A132" s="7">
        <v>131</v>
      </c>
      <c r="B132" s="8" t="s">
        <v>618</v>
      </c>
      <c r="C132" s="9" t="s">
        <v>619</v>
      </c>
      <c r="D132" s="10" t="s">
        <v>45</v>
      </c>
      <c r="E132" s="17" t="s">
        <v>191</v>
      </c>
      <c r="F132" s="10" t="s">
        <v>31</v>
      </c>
      <c r="G132" s="9" t="s">
        <v>127</v>
      </c>
      <c r="H132" s="10"/>
      <c r="I132" s="10"/>
      <c r="J132" s="11"/>
      <c r="K132" s="12"/>
      <c r="L132" s="12" t="s">
        <v>45</v>
      </c>
      <c r="M132" s="16"/>
      <c r="N132" s="19">
        <v>12</v>
      </c>
      <c r="O132" s="12">
        <v>2</v>
      </c>
      <c r="P132" s="19">
        <f t="shared" si="6"/>
        <v>14</v>
      </c>
      <c r="Q132" s="19" t="e">
        <f t="shared" ref="Q132:Q195" si="8">R131+1</f>
        <v>#VALUE!</v>
      </c>
      <c r="R132" s="15" t="e">
        <f t="shared" si="7"/>
        <v>#VALUE!</v>
      </c>
      <c r="S132" s="9" t="s">
        <v>620</v>
      </c>
    </row>
    <row r="133" spans="1:19" ht="105">
      <c r="A133" s="7">
        <v>132</v>
      </c>
      <c r="B133" s="8" t="s">
        <v>621</v>
      </c>
      <c r="C133" s="9" t="s">
        <v>622</v>
      </c>
      <c r="D133" s="10" t="s">
        <v>30</v>
      </c>
      <c r="E133" s="17">
        <v>1</v>
      </c>
      <c r="F133" s="10" t="s">
        <v>31</v>
      </c>
      <c r="G133" s="9" t="s">
        <v>623</v>
      </c>
      <c r="H133" s="10"/>
      <c r="I133" s="10"/>
      <c r="J133" s="11"/>
      <c r="K133" s="128" t="s">
        <v>405</v>
      </c>
      <c r="L133" s="12" t="s">
        <v>30</v>
      </c>
      <c r="M133" s="9" t="s">
        <v>624</v>
      </c>
      <c r="N133" s="19">
        <v>1</v>
      </c>
      <c r="O133" s="12">
        <v>0</v>
      </c>
      <c r="P133" s="19">
        <f t="shared" si="6"/>
        <v>1</v>
      </c>
      <c r="Q133" s="19" t="e">
        <f t="shared" si="8"/>
        <v>#VALUE!</v>
      </c>
      <c r="R133" s="15" t="e">
        <f t="shared" si="7"/>
        <v>#VALUE!</v>
      </c>
      <c r="S133" s="9" t="s">
        <v>625</v>
      </c>
    </row>
    <row r="134" spans="1:19" ht="135">
      <c r="A134" s="7">
        <v>133</v>
      </c>
      <c r="B134" s="8" t="s">
        <v>626</v>
      </c>
      <c r="C134" s="9" t="s">
        <v>627</v>
      </c>
      <c r="D134" s="10" t="s">
        <v>30</v>
      </c>
      <c r="E134" s="17">
        <v>10</v>
      </c>
      <c r="F134" s="10" t="s">
        <v>31</v>
      </c>
      <c r="G134" s="9" t="s">
        <v>628</v>
      </c>
      <c r="H134" s="10"/>
      <c r="I134" s="10"/>
      <c r="J134" s="11"/>
      <c r="K134" s="128"/>
      <c r="L134" s="12" t="s">
        <v>30</v>
      </c>
      <c r="M134" s="16" t="s">
        <v>629</v>
      </c>
      <c r="N134" s="19">
        <v>10</v>
      </c>
      <c r="O134" s="12">
        <v>0</v>
      </c>
      <c r="P134" s="19">
        <f t="shared" si="6"/>
        <v>10</v>
      </c>
      <c r="Q134" s="19" t="e">
        <f t="shared" si="8"/>
        <v>#VALUE!</v>
      </c>
      <c r="R134" s="15" t="e">
        <f t="shared" si="7"/>
        <v>#VALUE!</v>
      </c>
      <c r="S134" s="16" t="s">
        <v>630</v>
      </c>
    </row>
    <row r="135" spans="1:19" ht="120">
      <c r="A135" s="7">
        <v>134</v>
      </c>
      <c r="B135" s="8" t="s">
        <v>631</v>
      </c>
      <c r="C135" s="9" t="s">
        <v>632</v>
      </c>
      <c r="D135" s="10" t="s">
        <v>30</v>
      </c>
      <c r="E135" s="17">
        <v>2</v>
      </c>
      <c r="F135" s="10" t="s">
        <v>31</v>
      </c>
      <c r="G135" s="9" t="s">
        <v>633</v>
      </c>
      <c r="H135" s="10"/>
      <c r="I135" s="10"/>
      <c r="J135" s="11"/>
      <c r="K135" s="128"/>
      <c r="L135" s="12" t="s">
        <v>30</v>
      </c>
      <c r="M135" s="9" t="s">
        <v>341</v>
      </c>
      <c r="N135" s="19">
        <v>2</v>
      </c>
      <c r="O135" s="12">
        <v>0</v>
      </c>
      <c r="P135" s="19">
        <f t="shared" si="6"/>
        <v>2</v>
      </c>
      <c r="Q135" s="19" t="e">
        <f t="shared" si="8"/>
        <v>#VALUE!</v>
      </c>
      <c r="R135" s="15" t="e">
        <f t="shared" si="7"/>
        <v>#VALUE!</v>
      </c>
      <c r="S135" s="24" t="s">
        <v>634</v>
      </c>
    </row>
    <row r="136" spans="1:19" ht="135">
      <c r="A136" s="7">
        <v>135</v>
      </c>
      <c r="B136" s="8" t="s">
        <v>635</v>
      </c>
      <c r="C136" s="21" t="s">
        <v>636</v>
      </c>
      <c r="D136" s="10" t="s">
        <v>30</v>
      </c>
      <c r="E136" s="17">
        <v>1</v>
      </c>
      <c r="F136" s="10" t="s">
        <v>31</v>
      </c>
      <c r="G136" s="21" t="s">
        <v>146</v>
      </c>
      <c r="H136" s="10"/>
      <c r="I136" s="10"/>
      <c r="J136" s="11"/>
      <c r="K136" s="12"/>
      <c r="L136" s="12" t="s">
        <v>30</v>
      </c>
      <c r="M136" s="16" t="s">
        <v>148</v>
      </c>
      <c r="N136" s="19">
        <v>1</v>
      </c>
      <c r="O136" s="12">
        <v>0</v>
      </c>
      <c r="P136" s="19">
        <f t="shared" si="6"/>
        <v>1</v>
      </c>
      <c r="Q136" s="19" t="e">
        <f t="shared" si="8"/>
        <v>#VALUE!</v>
      </c>
      <c r="R136" s="15" t="e">
        <f t="shared" si="7"/>
        <v>#VALUE!</v>
      </c>
      <c r="S136" s="16" t="s">
        <v>261</v>
      </c>
    </row>
    <row r="137" spans="1:19" ht="120">
      <c r="A137" s="7">
        <v>136</v>
      </c>
      <c r="B137" s="8" t="s">
        <v>637</v>
      </c>
      <c r="C137" s="21" t="s">
        <v>638</v>
      </c>
      <c r="D137" s="10" t="s">
        <v>45</v>
      </c>
      <c r="E137" s="17" t="s">
        <v>191</v>
      </c>
      <c r="F137" s="10" t="s">
        <v>65</v>
      </c>
      <c r="G137" s="21" t="s">
        <v>639</v>
      </c>
      <c r="H137" s="10"/>
      <c r="I137" s="10"/>
      <c r="J137" s="18"/>
      <c r="K137" s="12"/>
      <c r="L137" s="12" t="s">
        <v>45</v>
      </c>
      <c r="M137" s="9" t="s">
        <v>640</v>
      </c>
      <c r="N137" s="19">
        <v>12</v>
      </c>
      <c r="O137" s="12">
        <v>2</v>
      </c>
      <c r="P137" s="19">
        <f t="shared" si="6"/>
        <v>14</v>
      </c>
      <c r="Q137" s="19" t="e">
        <f t="shared" si="8"/>
        <v>#VALUE!</v>
      </c>
      <c r="R137" s="15" t="e">
        <f t="shared" si="7"/>
        <v>#VALUE!</v>
      </c>
      <c r="S137" s="9" t="s">
        <v>639</v>
      </c>
    </row>
    <row r="138" spans="1:19" ht="45">
      <c r="A138" s="7">
        <v>137</v>
      </c>
      <c r="B138" s="8" t="s">
        <v>641</v>
      </c>
      <c r="C138" s="9" t="s">
        <v>642</v>
      </c>
      <c r="D138" s="10" t="s">
        <v>30</v>
      </c>
      <c r="E138" s="17">
        <v>1</v>
      </c>
      <c r="F138" s="10" t="s">
        <v>31</v>
      </c>
      <c r="G138" s="9" t="s">
        <v>643</v>
      </c>
      <c r="H138" s="10"/>
      <c r="I138" s="10"/>
      <c r="J138" s="18"/>
      <c r="K138" s="12"/>
      <c r="L138" s="12" t="s">
        <v>30</v>
      </c>
      <c r="M138" s="14" t="s">
        <v>644</v>
      </c>
      <c r="N138" s="19">
        <v>1</v>
      </c>
      <c r="O138" s="12">
        <v>0</v>
      </c>
      <c r="P138" s="19">
        <f t="shared" si="6"/>
        <v>1</v>
      </c>
      <c r="Q138" s="19" t="e">
        <f t="shared" si="8"/>
        <v>#VALUE!</v>
      </c>
      <c r="R138" s="15" t="e">
        <f t="shared" si="7"/>
        <v>#VALUE!</v>
      </c>
      <c r="S138" s="16" t="s">
        <v>645</v>
      </c>
    </row>
    <row r="139" spans="1:19" ht="90">
      <c r="A139" s="7">
        <v>138</v>
      </c>
      <c r="B139" s="8" t="s">
        <v>646</v>
      </c>
      <c r="C139" s="9" t="s">
        <v>647</v>
      </c>
      <c r="D139" s="10" t="s">
        <v>30</v>
      </c>
      <c r="E139" s="17">
        <v>1</v>
      </c>
      <c r="F139" s="10" t="s">
        <v>31</v>
      </c>
      <c r="G139" s="9" t="s">
        <v>648</v>
      </c>
      <c r="H139" s="10"/>
      <c r="I139" s="10"/>
      <c r="J139" s="18"/>
      <c r="K139" s="12"/>
      <c r="L139" s="12" t="s">
        <v>30</v>
      </c>
      <c r="M139" s="9" t="s">
        <v>649</v>
      </c>
      <c r="N139" s="19">
        <v>1</v>
      </c>
      <c r="O139" s="12">
        <v>0</v>
      </c>
      <c r="P139" s="19">
        <f t="shared" si="6"/>
        <v>1</v>
      </c>
      <c r="Q139" s="19" t="e">
        <f t="shared" si="8"/>
        <v>#VALUE!</v>
      </c>
      <c r="R139" s="15" t="e">
        <f t="shared" si="7"/>
        <v>#VALUE!</v>
      </c>
      <c r="S139" s="9" t="s">
        <v>650</v>
      </c>
    </row>
    <row r="140" spans="1:19" ht="45">
      <c r="A140" s="7">
        <v>139</v>
      </c>
      <c r="B140" s="8" t="s">
        <v>651</v>
      </c>
      <c r="C140" s="21" t="s">
        <v>652</v>
      </c>
      <c r="D140" s="10" t="s">
        <v>30</v>
      </c>
      <c r="E140" s="17">
        <v>12</v>
      </c>
      <c r="F140" s="10" t="s">
        <v>65</v>
      </c>
      <c r="G140" s="21" t="s">
        <v>281</v>
      </c>
      <c r="H140" s="10"/>
      <c r="I140" s="10"/>
      <c r="J140" s="18"/>
      <c r="K140" s="12"/>
      <c r="L140" s="12" t="s">
        <v>30</v>
      </c>
      <c r="M140" s="16" t="s">
        <v>653</v>
      </c>
      <c r="N140" s="19">
        <v>12</v>
      </c>
      <c r="O140" s="12">
        <v>0</v>
      </c>
      <c r="P140" s="19">
        <f t="shared" si="6"/>
        <v>12</v>
      </c>
      <c r="Q140" s="19" t="e">
        <f t="shared" si="8"/>
        <v>#VALUE!</v>
      </c>
      <c r="R140" s="15" t="e">
        <f t="shared" si="7"/>
        <v>#VALUE!</v>
      </c>
      <c r="S140" s="16" t="s">
        <v>282</v>
      </c>
    </row>
    <row r="141" spans="1:19" ht="45">
      <c r="A141" s="7">
        <v>140</v>
      </c>
      <c r="B141" s="8" t="s">
        <v>654</v>
      </c>
      <c r="C141" s="21" t="s">
        <v>655</v>
      </c>
      <c r="D141" s="10" t="s">
        <v>30</v>
      </c>
      <c r="E141" s="17">
        <v>1</v>
      </c>
      <c r="F141" s="10" t="s">
        <v>65</v>
      </c>
      <c r="G141" s="21" t="s">
        <v>281</v>
      </c>
      <c r="H141" s="10"/>
      <c r="I141" s="10"/>
      <c r="J141" s="18"/>
      <c r="K141" s="12"/>
      <c r="L141" s="12" t="s">
        <v>30</v>
      </c>
      <c r="M141" s="9" t="s">
        <v>656</v>
      </c>
      <c r="N141" s="19">
        <v>1</v>
      </c>
      <c r="O141" s="12">
        <v>0</v>
      </c>
      <c r="P141" s="19">
        <f t="shared" si="6"/>
        <v>1</v>
      </c>
      <c r="Q141" s="19" t="e">
        <f t="shared" si="8"/>
        <v>#VALUE!</v>
      </c>
      <c r="R141" s="15" t="e">
        <f t="shared" si="7"/>
        <v>#VALUE!</v>
      </c>
      <c r="S141" s="14" t="s">
        <v>282</v>
      </c>
    </row>
    <row r="142" spans="1:19" ht="409.5">
      <c r="A142" s="7">
        <v>141</v>
      </c>
      <c r="B142" s="8" t="s">
        <v>657</v>
      </c>
      <c r="C142" s="9" t="s">
        <v>658</v>
      </c>
      <c r="D142" s="10" t="s">
        <v>30</v>
      </c>
      <c r="E142" s="17">
        <v>1</v>
      </c>
      <c r="F142" s="10" t="s">
        <v>31</v>
      </c>
      <c r="G142" s="9" t="s">
        <v>659</v>
      </c>
      <c r="H142" s="9" t="s">
        <v>660</v>
      </c>
      <c r="I142" s="9" t="s">
        <v>661</v>
      </c>
      <c r="J142" s="11" t="s">
        <v>662</v>
      </c>
      <c r="K142" s="42" t="s">
        <v>663</v>
      </c>
      <c r="L142" s="12" t="s">
        <v>30</v>
      </c>
      <c r="M142" s="16" t="s">
        <v>664</v>
      </c>
      <c r="N142" s="19">
        <v>1</v>
      </c>
      <c r="O142" s="12">
        <v>0</v>
      </c>
      <c r="P142" s="19">
        <f t="shared" si="6"/>
        <v>1</v>
      </c>
      <c r="Q142" s="19" t="e">
        <f t="shared" si="8"/>
        <v>#VALUE!</v>
      </c>
      <c r="R142" s="15" t="e">
        <f t="shared" si="7"/>
        <v>#VALUE!</v>
      </c>
      <c r="S142" s="52"/>
    </row>
    <row r="143" spans="1:19" ht="225">
      <c r="A143" s="7">
        <v>142</v>
      </c>
      <c r="B143" s="8" t="s">
        <v>665</v>
      </c>
      <c r="C143" s="9" t="s">
        <v>666</v>
      </c>
      <c r="D143" s="10" t="s">
        <v>30</v>
      </c>
      <c r="E143" s="17">
        <v>1</v>
      </c>
      <c r="F143" s="10" t="s">
        <v>31</v>
      </c>
      <c r="G143" s="9" t="s">
        <v>667</v>
      </c>
      <c r="H143" s="10"/>
      <c r="I143" s="10"/>
      <c r="J143" s="18"/>
      <c r="K143" s="53"/>
      <c r="L143" s="12" t="s">
        <v>30</v>
      </c>
      <c r="M143" s="9" t="s">
        <v>668</v>
      </c>
      <c r="N143" s="19">
        <v>1</v>
      </c>
      <c r="O143" s="12">
        <v>0</v>
      </c>
      <c r="P143" s="19">
        <f t="shared" si="6"/>
        <v>1</v>
      </c>
      <c r="Q143" s="19" t="e">
        <f t="shared" si="8"/>
        <v>#VALUE!</v>
      </c>
      <c r="R143" s="15" t="e">
        <f t="shared" si="7"/>
        <v>#VALUE!</v>
      </c>
      <c r="S143" s="9" t="s">
        <v>669</v>
      </c>
    </row>
    <row r="144" spans="1:19" ht="30">
      <c r="A144" s="7">
        <v>143</v>
      </c>
      <c r="B144" s="8" t="s">
        <v>670</v>
      </c>
      <c r="C144" s="21" t="s">
        <v>671</v>
      </c>
      <c r="D144" s="10" t="s">
        <v>30</v>
      </c>
      <c r="E144" s="17">
        <v>20</v>
      </c>
      <c r="F144" s="10" t="s">
        <v>65</v>
      </c>
      <c r="G144" s="21" t="s">
        <v>281</v>
      </c>
      <c r="H144" s="10"/>
      <c r="I144" s="10"/>
      <c r="J144" s="18"/>
      <c r="K144" s="12"/>
      <c r="L144" s="12" t="s">
        <v>30</v>
      </c>
      <c r="M144" s="16" t="s">
        <v>653</v>
      </c>
      <c r="N144" s="19">
        <v>20</v>
      </c>
      <c r="O144" s="12">
        <v>0</v>
      </c>
      <c r="P144" s="19">
        <f t="shared" si="6"/>
        <v>20</v>
      </c>
      <c r="Q144" s="19" t="e">
        <f t="shared" si="8"/>
        <v>#VALUE!</v>
      </c>
      <c r="R144" s="15" t="e">
        <f t="shared" si="7"/>
        <v>#VALUE!</v>
      </c>
      <c r="S144" s="16" t="s">
        <v>282</v>
      </c>
    </row>
    <row r="145" spans="1:19" ht="150">
      <c r="A145" s="7">
        <v>144</v>
      </c>
      <c r="B145" s="8" t="s">
        <v>672</v>
      </c>
      <c r="C145" s="9" t="s">
        <v>673</v>
      </c>
      <c r="D145" s="10" t="s">
        <v>30</v>
      </c>
      <c r="E145" s="17">
        <v>3</v>
      </c>
      <c r="F145" s="10" t="s">
        <v>31</v>
      </c>
      <c r="G145" s="9" t="s">
        <v>674</v>
      </c>
      <c r="H145" s="10"/>
      <c r="I145" s="10"/>
      <c r="J145" s="18"/>
      <c r="K145" s="12"/>
      <c r="L145" s="12" t="s">
        <v>30</v>
      </c>
      <c r="M145" s="9" t="s">
        <v>640</v>
      </c>
      <c r="N145" s="19">
        <v>3</v>
      </c>
      <c r="O145" s="12">
        <v>0</v>
      </c>
      <c r="P145" s="19">
        <f t="shared" si="6"/>
        <v>3</v>
      </c>
      <c r="Q145" s="19" t="e">
        <f t="shared" si="8"/>
        <v>#VALUE!</v>
      </c>
      <c r="R145" s="15" t="e">
        <f t="shared" si="7"/>
        <v>#VALUE!</v>
      </c>
      <c r="S145" s="9" t="s">
        <v>675</v>
      </c>
    </row>
    <row r="146" spans="1:19" ht="135">
      <c r="A146" s="7">
        <v>145</v>
      </c>
      <c r="B146" s="8" t="s">
        <v>676</v>
      </c>
      <c r="C146" s="21" t="s">
        <v>677</v>
      </c>
      <c r="D146" s="10" t="s">
        <v>30</v>
      </c>
      <c r="E146" s="17">
        <v>3</v>
      </c>
      <c r="F146" s="10" t="s">
        <v>31</v>
      </c>
      <c r="G146" s="21" t="s">
        <v>678</v>
      </c>
      <c r="H146" s="10"/>
      <c r="I146" s="10"/>
      <c r="J146" s="18"/>
      <c r="K146" s="129" t="s">
        <v>679</v>
      </c>
      <c r="L146" s="13" t="s">
        <v>30</v>
      </c>
      <c r="M146" s="9" t="s">
        <v>640</v>
      </c>
      <c r="N146" s="15">
        <v>3</v>
      </c>
      <c r="O146" s="13">
        <v>0</v>
      </c>
      <c r="P146" s="15">
        <f t="shared" si="6"/>
        <v>3</v>
      </c>
      <c r="Q146" s="19" t="e">
        <f t="shared" si="8"/>
        <v>#VALUE!</v>
      </c>
      <c r="R146" s="15" t="e">
        <f t="shared" si="7"/>
        <v>#VALUE!</v>
      </c>
      <c r="S146" s="14" t="s">
        <v>281</v>
      </c>
    </row>
    <row r="147" spans="1:19" ht="150">
      <c r="A147" s="7">
        <v>146</v>
      </c>
      <c r="B147" s="8" t="s">
        <v>680</v>
      </c>
      <c r="C147" s="21" t="s">
        <v>681</v>
      </c>
      <c r="D147" s="10" t="s">
        <v>30</v>
      </c>
      <c r="E147" s="17">
        <v>3</v>
      </c>
      <c r="F147" s="10" t="s">
        <v>31</v>
      </c>
      <c r="G147" s="21" t="s">
        <v>682</v>
      </c>
      <c r="H147" s="10"/>
      <c r="I147" s="10"/>
      <c r="J147" s="18"/>
      <c r="K147" s="129"/>
      <c r="L147" s="13" t="s">
        <v>30</v>
      </c>
      <c r="M147" s="9" t="s">
        <v>653</v>
      </c>
      <c r="N147" s="15">
        <v>3</v>
      </c>
      <c r="O147" s="13">
        <v>0</v>
      </c>
      <c r="P147" s="15">
        <f t="shared" si="6"/>
        <v>3</v>
      </c>
      <c r="Q147" s="19" t="e">
        <f t="shared" si="8"/>
        <v>#VALUE!</v>
      </c>
      <c r="R147" s="15" t="e">
        <f t="shared" si="7"/>
        <v>#VALUE!</v>
      </c>
      <c r="S147" s="21" t="s">
        <v>683</v>
      </c>
    </row>
    <row r="148" spans="1:19" ht="300">
      <c r="A148" s="7">
        <v>147</v>
      </c>
      <c r="B148" s="8" t="s">
        <v>684</v>
      </c>
      <c r="C148" s="21" t="s">
        <v>685</v>
      </c>
      <c r="D148" s="10" t="s">
        <v>30</v>
      </c>
      <c r="E148" s="17">
        <v>1</v>
      </c>
      <c r="F148" s="10" t="s">
        <v>31</v>
      </c>
      <c r="G148" s="21" t="s">
        <v>686</v>
      </c>
      <c r="H148" s="10"/>
      <c r="I148" s="10"/>
      <c r="J148" s="18" t="s">
        <v>687</v>
      </c>
      <c r="K148" s="129"/>
      <c r="L148" s="13" t="s">
        <v>30</v>
      </c>
      <c r="M148" s="14" t="s">
        <v>688</v>
      </c>
      <c r="N148" s="15">
        <v>1</v>
      </c>
      <c r="O148" s="13">
        <v>0</v>
      </c>
      <c r="P148" s="15">
        <f t="shared" si="6"/>
        <v>1</v>
      </c>
      <c r="Q148" s="19" t="e">
        <f t="shared" si="8"/>
        <v>#VALUE!</v>
      </c>
      <c r="R148" s="15" t="e">
        <f t="shared" si="7"/>
        <v>#VALUE!</v>
      </c>
      <c r="S148" s="14" t="s">
        <v>689</v>
      </c>
    </row>
    <row r="149" spans="1:19" ht="135">
      <c r="A149" s="7">
        <v>148</v>
      </c>
      <c r="B149" s="8" t="s">
        <v>690</v>
      </c>
      <c r="C149" s="9" t="s">
        <v>691</v>
      </c>
      <c r="D149" s="10" t="s">
        <v>45</v>
      </c>
      <c r="E149" s="17" t="s">
        <v>191</v>
      </c>
      <c r="F149" s="10" t="s">
        <v>31</v>
      </c>
      <c r="G149" s="9" t="s">
        <v>692</v>
      </c>
      <c r="H149" s="10"/>
      <c r="I149" s="10"/>
      <c r="J149" s="18"/>
      <c r="K149" s="12"/>
      <c r="L149" s="12" t="s">
        <v>45</v>
      </c>
      <c r="M149" s="9" t="s">
        <v>693</v>
      </c>
      <c r="N149" s="19">
        <v>12</v>
      </c>
      <c r="O149" s="12">
        <v>2</v>
      </c>
      <c r="P149" s="19">
        <f t="shared" si="6"/>
        <v>14</v>
      </c>
      <c r="Q149" s="19" t="e">
        <f t="shared" si="8"/>
        <v>#VALUE!</v>
      </c>
      <c r="R149" s="15" t="e">
        <f t="shared" si="7"/>
        <v>#VALUE!</v>
      </c>
      <c r="S149" s="9" t="s">
        <v>694</v>
      </c>
    </row>
    <row r="150" spans="1:19" ht="90">
      <c r="A150" s="7">
        <v>149</v>
      </c>
      <c r="B150" s="8" t="s">
        <v>695</v>
      </c>
      <c r="C150" s="9" t="s">
        <v>696</v>
      </c>
      <c r="D150" s="10" t="s">
        <v>30</v>
      </c>
      <c r="E150" s="17">
        <v>1</v>
      </c>
      <c r="F150" s="10" t="s">
        <v>31</v>
      </c>
      <c r="G150" s="9" t="s">
        <v>697</v>
      </c>
      <c r="H150" s="10"/>
      <c r="I150" s="10"/>
      <c r="J150" s="18" t="s">
        <v>698</v>
      </c>
      <c r="K150" s="54" t="s">
        <v>699</v>
      </c>
      <c r="L150" s="55" t="s">
        <v>30</v>
      </c>
      <c r="M150" s="24" t="s">
        <v>700</v>
      </c>
      <c r="N150" s="56">
        <v>1</v>
      </c>
      <c r="O150" s="55">
        <v>0</v>
      </c>
      <c r="P150" s="56">
        <f t="shared" si="6"/>
        <v>1</v>
      </c>
      <c r="Q150" s="19" t="e">
        <f t="shared" si="8"/>
        <v>#VALUE!</v>
      </c>
      <c r="R150" s="15" t="e">
        <f t="shared" si="7"/>
        <v>#VALUE!</v>
      </c>
      <c r="S150" s="9" t="s">
        <v>701</v>
      </c>
    </row>
    <row r="151" spans="1:19" ht="135">
      <c r="A151" s="7">
        <v>150</v>
      </c>
      <c r="B151" s="8" t="s">
        <v>702</v>
      </c>
      <c r="C151" s="9" t="s">
        <v>703</v>
      </c>
      <c r="D151" s="10" t="s">
        <v>30</v>
      </c>
      <c r="E151" s="17">
        <v>4</v>
      </c>
      <c r="F151" s="10" t="s">
        <v>31</v>
      </c>
      <c r="G151" s="9" t="s">
        <v>704</v>
      </c>
      <c r="H151" s="10"/>
      <c r="I151" s="10"/>
      <c r="J151" s="18" t="s">
        <v>705</v>
      </c>
      <c r="K151" s="12"/>
      <c r="L151" s="12" t="s">
        <v>30</v>
      </c>
      <c r="M151" s="9" t="s">
        <v>154</v>
      </c>
      <c r="N151" s="19">
        <v>4</v>
      </c>
      <c r="O151" s="12">
        <v>0</v>
      </c>
      <c r="P151" s="19">
        <f t="shared" si="6"/>
        <v>4</v>
      </c>
      <c r="Q151" s="19" t="e">
        <f t="shared" si="8"/>
        <v>#VALUE!</v>
      </c>
      <c r="R151" s="15" t="e">
        <f t="shared" si="7"/>
        <v>#VALUE!</v>
      </c>
      <c r="S151" s="9" t="s">
        <v>706</v>
      </c>
    </row>
    <row r="152" spans="1:19" ht="195">
      <c r="A152" s="7">
        <v>151</v>
      </c>
      <c r="B152" s="8" t="s">
        <v>707</v>
      </c>
      <c r="C152" s="9" t="s">
        <v>708</v>
      </c>
      <c r="D152" s="10" t="s">
        <v>30</v>
      </c>
      <c r="E152" s="17">
        <v>1</v>
      </c>
      <c r="F152" s="10" t="s">
        <v>31</v>
      </c>
      <c r="G152" s="9" t="s">
        <v>709</v>
      </c>
      <c r="H152" s="10"/>
      <c r="I152" s="10"/>
      <c r="J152" s="18" t="s">
        <v>710</v>
      </c>
      <c r="K152" s="57" t="s">
        <v>711</v>
      </c>
      <c r="L152" s="10" t="s">
        <v>30</v>
      </c>
      <c r="M152" s="21" t="s">
        <v>712</v>
      </c>
      <c r="N152" s="17">
        <v>1</v>
      </c>
      <c r="O152" s="10">
        <v>0</v>
      </c>
      <c r="P152" s="17">
        <f t="shared" si="6"/>
        <v>1</v>
      </c>
      <c r="Q152" s="19" t="e">
        <f t="shared" si="8"/>
        <v>#VALUE!</v>
      </c>
      <c r="R152" s="15" t="e">
        <f t="shared" si="7"/>
        <v>#VALUE!</v>
      </c>
      <c r="S152" s="9" t="s">
        <v>713</v>
      </c>
    </row>
    <row r="153" spans="1:19" ht="180">
      <c r="A153" s="7">
        <v>152</v>
      </c>
      <c r="B153" s="8" t="s">
        <v>714</v>
      </c>
      <c r="C153" s="9" t="s">
        <v>715</v>
      </c>
      <c r="D153" s="10" t="s">
        <v>30</v>
      </c>
      <c r="E153" s="17">
        <v>1</v>
      </c>
      <c r="F153" s="10" t="s">
        <v>31</v>
      </c>
      <c r="G153" s="9" t="s">
        <v>716</v>
      </c>
      <c r="H153" s="10"/>
      <c r="I153" s="10"/>
      <c r="J153" s="18" t="s">
        <v>717</v>
      </c>
      <c r="K153" s="130" t="s">
        <v>718</v>
      </c>
      <c r="L153" s="12" t="s">
        <v>30</v>
      </c>
      <c r="M153" s="9" t="s">
        <v>719</v>
      </c>
      <c r="N153" s="19">
        <v>1</v>
      </c>
      <c r="O153" s="12">
        <v>0</v>
      </c>
      <c r="P153" s="19">
        <f t="shared" si="6"/>
        <v>1</v>
      </c>
      <c r="Q153" s="19" t="e">
        <f t="shared" si="8"/>
        <v>#VALUE!</v>
      </c>
      <c r="R153" s="15" t="e">
        <f t="shared" si="7"/>
        <v>#VALUE!</v>
      </c>
      <c r="S153" s="24" t="s">
        <v>720</v>
      </c>
    </row>
    <row r="154" spans="1:19" ht="135">
      <c r="A154" s="7">
        <v>153</v>
      </c>
      <c r="B154" s="8" t="s">
        <v>721</v>
      </c>
      <c r="C154" s="9" t="s">
        <v>722</v>
      </c>
      <c r="D154" s="10" t="s">
        <v>45</v>
      </c>
      <c r="E154" s="17" t="s">
        <v>723</v>
      </c>
      <c r="F154" s="10" t="s">
        <v>31</v>
      </c>
      <c r="G154" s="9" t="s">
        <v>724</v>
      </c>
      <c r="H154" s="9" t="s">
        <v>725</v>
      </c>
      <c r="I154" s="9" t="s">
        <v>726</v>
      </c>
      <c r="J154" s="18" t="s">
        <v>727</v>
      </c>
      <c r="K154" s="130"/>
      <c r="L154" s="12" t="s">
        <v>45</v>
      </c>
      <c r="M154" s="9" t="s">
        <v>728</v>
      </c>
      <c r="N154" s="19">
        <v>3</v>
      </c>
      <c r="O154" s="12">
        <v>7</v>
      </c>
      <c r="P154" s="19">
        <f t="shared" si="6"/>
        <v>10</v>
      </c>
      <c r="Q154" s="19" t="e">
        <f t="shared" si="8"/>
        <v>#VALUE!</v>
      </c>
      <c r="R154" s="15" t="e">
        <f t="shared" si="7"/>
        <v>#VALUE!</v>
      </c>
      <c r="S154" s="24" t="s">
        <v>729</v>
      </c>
    </row>
    <row r="155" spans="1:19" ht="105">
      <c r="A155" s="7">
        <v>154</v>
      </c>
      <c r="B155" s="8" t="s">
        <v>730</v>
      </c>
      <c r="C155" s="9" t="s">
        <v>731</v>
      </c>
      <c r="D155" s="10" t="s">
        <v>30</v>
      </c>
      <c r="E155" s="17">
        <v>1</v>
      </c>
      <c r="F155" s="10" t="s">
        <v>31</v>
      </c>
      <c r="G155" s="21" t="s">
        <v>146</v>
      </c>
      <c r="H155" s="10"/>
      <c r="I155" s="10"/>
      <c r="J155" s="18"/>
      <c r="K155" s="130"/>
      <c r="L155" s="12" t="s">
        <v>30</v>
      </c>
      <c r="M155" s="16" t="s">
        <v>148</v>
      </c>
      <c r="N155" s="19">
        <v>1</v>
      </c>
      <c r="O155" s="12">
        <v>0</v>
      </c>
      <c r="P155" s="19">
        <f t="shared" si="6"/>
        <v>1</v>
      </c>
      <c r="Q155" s="19" t="e">
        <f t="shared" si="8"/>
        <v>#VALUE!</v>
      </c>
      <c r="R155" s="15" t="e">
        <f t="shared" si="7"/>
        <v>#VALUE!</v>
      </c>
      <c r="S155" s="24" t="s">
        <v>261</v>
      </c>
    </row>
    <row r="156" spans="1:19" ht="135">
      <c r="A156" s="7">
        <v>155</v>
      </c>
      <c r="B156" s="8" t="s">
        <v>732</v>
      </c>
      <c r="C156" s="9" t="s">
        <v>733</v>
      </c>
      <c r="D156" s="10" t="s">
        <v>45</v>
      </c>
      <c r="E156" s="17" t="s">
        <v>191</v>
      </c>
      <c r="F156" s="10" t="s">
        <v>31</v>
      </c>
      <c r="G156" s="9" t="s">
        <v>734</v>
      </c>
      <c r="H156" s="10"/>
      <c r="I156" s="10"/>
      <c r="J156" s="18" t="s">
        <v>735</v>
      </c>
      <c r="K156" s="130"/>
      <c r="L156" s="12" t="s">
        <v>45</v>
      </c>
      <c r="M156" s="16" t="s">
        <v>206</v>
      </c>
      <c r="N156" s="19">
        <v>12</v>
      </c>
      <c r="O156" s="12">
        <v>2</v>
      </c>
      <c r="P156" s="19">
        <f t="shared" si="6"/>
        <v>14</v>
      </c>
      <c r="Q156" s="19" t="e">
        <f t="shared" si="8"/>
        <v>#VALUE!</v>
      </c>
      <c r="R156" s="15" t="e">
        <f t="shared" si="7"/>
        <v>#VALUE!</v>
      </c>
      <c r="S156" s="24" t="s">
        <v>736</v>
      </c>
    </row>
    <row r="157" spans="1:19" ht="105">
      <c r="A157" s="7">
        <v>156</v>
      </c>
      <c r="B157" s="8" t="s">
        <v>737</v>
      </c>
      <c r="C157" s="9" t="s">
        <v>738</v>
      </c>
      <c r="D157" s="10" t="s">
        <v>30</v>
      </c>
      <c r="E157" s="17">
        <v>8</v>
      </c>
      <c r="F157" s="10" t="s">
        <v>31</v>
      </c>
      <c r="G157" s="9" t="s">
        <v>739</v>
      </c>
      <c r="H157" s="10"/>
      <c r="I157" s="10"/>
      <c r="J157" s="18" t="s">
        <v>740</v>
      </c>
      <c r="K157" s="130"/>
      <c r="L157" s="12" t="s">
        <v>30</v>
      </c>
      <c r="M157" s="9" t="s">
        <v>741</v>
      </c>
      <c r="N157" s="19">
        <v>8</v>
      </c>
      <c r="O157" s="12">
        <v>0</v>
      </c>
      <c r="P157" s="19">
        <f t="shared" si="6"/>
        <v>8</v>
      </c>
      <c r="Q157" s="19" t="e">
        <f t="shared" si="8"/>
        <v>#VALUE!</v>
      </c>
      <c r="R157" s="15" t="e">
        <f t="shared" si="7"/>
        <v>#VALUE!</v>
      </c>
      <c r="S157" s="16" t="s">
        <v>742</v>
      </c>
    </row>
    <row r="158" spans="1:19" ht="135">
      <c r="A158" s="7">
        <v>157</v>
      </c>
      <c r="B158" s="8" t="s">
        <v>743</v>
      </c>
      <c r="C158" s="9" t="s">
        <v>744</v>
      </c>
      <c r="D158" s="10" t="s">
        <v>30</v>
      </c>
      <c r="E158" s="17">
        <v>10</v>
      </c>
      <c r="F158" s="10" t="s">
        <v>31</v>
      </c>
      <c r="G158" s="9" t="s">
        <v>745</v>
      </c>
      <c r="H158" s="10"/>
      <c r="I158" s="10"/>
      <c r="J158" s="18" t="s">
        <v>746</v>
      </c>
      <c r="K158" s="130"/>
      <c r="L158" s="12" t="s">
        <v>30</v>
      </c>
      <c r="M158" s="16" t="s">
        <v>747</v>
      </c>
      <c r="N158" s="19">
        <v>10</v>
      </c>
      <c r="O158" s="12">
        <v>0</v>
      </c>
      <c r="P158" s="19">
        <f t="shared" si="6"/>
        <v>10</v>
      </c>
      <c r="Q158" s="19" t="e">
        <f t="shared" si="8"/>
        <v>#VALUE!</v>
      </c>
      <c r="R158" s="15" t="e">
        <f t="shared" si="7"/>
        <v>#VALUE!</v>
      </c>
      <c r="S158" s="16" t="s">
        <v>748</v>
      </c>
    </row>
    <row r="159" spans="1:19" ht="90">
      <c r="A159" s="7">
        <v>158</v>
      </c>
      <c r="B159" s="8" t="s">
        <v>749</v>
      </c>
      <c r="C159" s="9" t="s">
        <v>750</v>
      </c>
      <c r="D159" s="10" t="s">
        <v>30</v>
      </c>
      <c r="E159" s="17">
        <v>2</v>
      </c>
      <c r="F159" s="10" t="s">
        <v>31</v>
      </c>
      <c r="G159" s="9" t="s">
        <v>751</v>
      </c>
      <c r="H159" s="10"/>
      <c r="I159" s="10"/>
      <c r="J159" s="18" t="s">
        <v>752</v>
      </c>
      <c r="K159" s="130"/>
      <c r="L159" s="12" t="s">
        <v>30</v>
      </c>
      <c r="M159" s="9" t="s">
        <v>753</v>
      </c>
      <c r="N159" s="19">
        <v>2</v>
      </c>
      <c r="O159" s="12">
        <v>0</v>
      </c>
      <c r="P159" s="19">
        <f t="shared" si="6"/>
        <v>2</v>
      </c>
      <c r="Q159" s="19" t="e">
        <f t="shared" si="8"/>
        <v>#VALUE!</v>
      </c>
      <c r="R159" s="15" t="e">
        <f t="shared" si="7"/>
        <v>#VALUE!</v>
      </c>
      <c r="S159" s="16" t="s">
        <v>754</v>
      </c>
    </row>
    <row r="160" spans="1:19" ht="90">
      <c r="A160" s="7">
        <v>159</v>
      </c>
      <c r="B160" s="8" t="s">
        <v>755</v>
      </c>
      <c r="C160" s="9" t="s">
        <v>756</v>
      </c>
      <c r="D160" s="10" t="s">
        <v>30</v>
      </c>
      <c r="E160" s="17">
        <v>6</v>
      </c>
      <c r="F160" s="10" t="s">
        <v>31</v>
      </c>
      <c r="G160" s="9" t="s">
        <v>757</v>
      </c>
      <c r="H160" s="9" t="s">
        <v>725</v>
      </c>
      <c r="I160" s="9" t="s">
        <v>726</v>
      </c>
      <c r="J160" s="18" t="s">
        <v>758</v>
      </c>
      <c r="K160" s="130"/>
      <c r="L160" s="12" t="s">
        <v>30</v>
      </c>
      <c r="M160" s="16" t="s">
        <v>753</v>
      </c>
      <c r="N160" s="19">
        <v>6</v>
      </c>
      <c r="O160" s="12">
        <v>0</v>
      </c>
      <c r="P160" s="19">
        <f t="shared" si="6"/>
        <v>6</v>
      </c>
      <c r="Q160" s="19" t="e">
        <f t="shared" si="8"/>
        <v>#VALUE!</v>
      </c>
      <c r="R160" s="15" t="e">
        <f t="shared" si="7"/>
        <v>#VALUE!</v>
      </c>
      <c r="S160" s="14" t="s">
        <v>759</v>
      </c>
    </row>
    <row r="161" spans="1:19" ht="195">
      <c r="A161" s="7">
        <v>160</v>
      </c>
      <c r="B161" s="8" t="s">
        <v>760</v>
      </c>
      <c r="C161" s="21" t="s">
        <v>761</v>
      </c>
      <c r="D161" s="10" t="s">
        <v>30</v>
      </c>
      <c r="E161" s="17">
        <v>1</v>
      </c>
      <c r="F161" s="10" t="s">
        <v>31</v>
      </c>
      <c r="G161" s="21" t="s">
        <v>146</v>
      </c>
      <c r="H161" s="10"/>
      <c r="I161" s="10"/>
      <c r="J161" s="18"/>
      <c r="K161" s="131" t="s">
        <v>718</v>
      </c>
      <c r="L161" s="12" t="s">
        <v>30</v>
      </c>
      <c r="M161" s="16" t="s">
        <v>148</v>
      </c>
      <c r="N161" s="19">
        <v>1</v>
      </c>
      <c r="O161" s="12">
        <v>0</v>
      </c>
      <c r="P161" s="19">
        <f t="shared" si="6"/>
        <v>1</v>
      </c>
      <c r="Q161" s="19" t="e">
        <f t="shared" si="8"/>
        <v>#VALUE!</v>
      </c>
      <c r="R161" s="15" t="e">
        <f t="shared" si="7"/>
        <v>#VALUE!</v>
      </c>
      <c r="S161" s="16" t="s">
        <v>261</v>
      </c>
    </row>
    <row r="162" spans="1:19" ht="195">
      <c r="A162" s="7">
        <v>161</v>
      </c>
      <c r="B162" s="8" t="s">
        <v>762</v>
      </c>
      <c r="C162" s="9" t="s">
        <v>763</v>
      </c>
      <c r="D162" s="10" t="s">
        <v>45</v>
      </c>
      <c r="E162" s="17" t="s">
        <v>191</v>
      </c>
      <c r="F162" s="10" t="s">
        <v>31</v>
      </c>
      <c r="G162" s="9" t="s">
        <v>764</v>
      </c>
      <c r="H162" s="10"/>
      <c r="I162" s="10"/>
      <c r="J162" s="18"/>
      <c r="K162" s="131"/>
      <c r="L162" s="12" t="s">
        <v>45</v>
      </c>
      <c r="M162" s="14" t="s">
        <v>765</v>
      </c>
      <c r="N162" s="19">
        <v>12</v>
      </c>
      <c r="O162" s="12">
        <v>2</v>
      </c>
      <c r="P162" s="19">
        <f t="shared" si="6"/>
        <v>14</v>
      </c>
      <c r="Q162" s="19" t="e">
        <f t="shared" si="8"/>
        <v>#VALUE!</v>
      </c>
      <c r="R162" s="15" t="e">
        <f t="shared" si="7"/>
        <v>#VALUE!</v>
      </c>
      <c r="S162" s="16" t="s">
        <v>766</v>
      </c>
    </row>
    <row r="163" spans="1:19" ht="285">
      <c r="A163" s="7">
        <v>162</v>
      </c>
      <c r="B163" s="8" t="s">
        <v>767</v>
      </c>
      <c r="C163" s="9" t="s">
        <v>768</v>
      </c>
      <c r="D163" s="10" t="s">
        <v>30</v>
      </c>
      <c r="E163" s="17">
        <v>1</v>
      </c>
      <c r="F163" s="10" t="s">
        <v>31</v>
      </c>
      <c r="G163" s="9" t="s">
        <v>769</v>
      </c>
      <c r="H163" s="10"/>
      <c r="I163" s="10"/>
      <c r="J163" s="18" t="s">
        <v>770</v>
      </c>
      <c r="K163" s="53"/>
      <c r="L163" s="12" t="s">
        <v>30</v>
      </c>
      <c r="M163" s="9" t="s">
        <v>771</v>
      </c>
      <c r="N163" s="19">
        <v>1</v>
      </c>
      <c r="O163" s="12">
        <v>0</v>
      </c>
      <c r="P163" s="19">
        <f t="shared" si="6"/>
        <v>1</v>
      </c>
      <c r="Q163" s="19" t="e">
        <f t="shared" si="8"/>
        <v>#VALUE!</v>
      </c>
      <c r="R163" s="15" t="e">
        <f t="shared" si="7"/>
        <v>#VALUE!</v>
      </c>
      <c r="S163" s="9" t="s">
        <v>772</v>
      </c>
    </row>
    <row r="164" spans="1:19" ht="75">
      <c r="A164" s="7">
        <v>163</v>
      </c>
      <c r="B164" s="8" t="s">
        <v>773</v>
      </c>
      <c r="C164" s="9" t="s">
        <v>774</v>
      </c>
      <c r="D164" s="10" t="s">
        <v>30</v>
      </c>
      <c r="E164" s="17">
        <v>30</v>
      </c>
      <c r="F164" s="10" t="s">
        <v>31</v>
      </c>
      <c r="G164" s="9" t="s">
        <v>54</v>
      </c>
      <c r="H164" s="10"/>
      <c r="I164" s="10"/>
      <c r="J164" s="18" t="s">
        <v>775</v>
      </c>
      <c r="K164" s="12"/>
      <c r="L164" s="12" t="s">
        <v>30</v>
      </c>
      <c r="M164" s="16"/>
      <c r="N164" s="19">
        <v>30</v>
      </c>
      <c r="O164" s="12">
        <v>0</v>
      </c>
      <c r="P164" s="19">
        <f t="shared" si="6"/>
        <v>30</v>
      </c>
      <c r="Q164" s="19" t="e">
        <f t="shared" si="8"/>
        <v>#VALUE!</v>
      </c>
      <c r="R164" s="15" t="e">
        <f t="shared" si="7"/>
        <v>#VALUE!</v>
      </c>
      <c r="S164" s="9" t="s">
        <v>54</v>
      </c>
    </row>
    <row r="165" spans="1:19" ht="45">
      <c r="A165" s="7">
        <v>164</v>
      </c>
      <c r="B165" s="8" t="s">
        <v>776</v>
      </c>
      <c r="C165" s="9" t="s">
        <v>777</v>
      </c>
      <c r="D165" s="10" t="s">
        <v>30</v>
      </c>
      <c r="E165" s="17">
        <v>8</v>
      </c>
      <c r="F165" s="10" t="s">
        <v>31</v>
      </c>
      <c r="G165" s="9" t="s">
        <v>778</v>
      </c>
      <c r="H165" s="10"/>
      <c r="I165" s="10"/>
      <c r="J165" s="18"/>
      <c r="K165" s="12"/>
      <c r="L165" s="12" t="s">
        <v>30</v>
      </c>
      <c r="M165" s="9" t="s">
        <v>779</v>
      </c>
      <c r="N165" s="19">
        <v>8</v>
      </c>
      <c r="O165" s="12">
        <v>0</v>
      </c>
      <c r="P165" s="19">
        <f t="shared" si="6"/>
        <v>8</v>
      </c>
      <c r="Q165" s="19" t="e">
        <f t="shared" si="8"/>
        <v>#VALUE!</v>
      </c>
      <c r="R165" s="15" t="e">
        <f t="shared" si="7"/>
        <v>#VALUE!</v>
      </c>
      <c r="S165" s="9" t="s">
        <v>354</v>
      </c>
    </row>
    <row r="166" spans="1:19" ht="60">
      <c r="A166" s="7">
        <v>165</v>
      </c>
      <c r="B166" s="8" t="s">
        <v>780</v>
      </c>
      <c r="C166" s="9" t="s">
        <v>781</v>
      </c>
      <c r="D166" s="10" t="s">
        <v>30</v>
      </c>
      <c r="E166" s="17">
        <v>1</v>
      </c>
      <c r="F166" s="10" t="s">
        <v>31</v>
      </c>
      <c r="G166" s="9" t="s">
        <v>782</v>
      </c>
      <c r="H166" s="10"/>
      <c r="I166" s="10"/>
      <c r="J166" s="18"/>
      <c r="K166" s="12"/>
      <c r="L166" s="12" t="s">
        <v>30</v>
      </c>
      <c r="M166" s="16" t="s">
        <v>783</v>
      </c>
      <c r="N166" s="19">
        <v>1</v>
      </c>
      <c r="O166" s="12">
        <v>0</v>
      </c>
      <c r="P166" s="19">
        <f t="shared" si="6"/>
        <v>1</v>
      </c>
      <c r="Q166" s="19" t="e">
        <f t="shared" si="8"/>
        <v>#VALUE!</v>
      </c>
      <c r="R166" s="15" t="e">
        <f t="shared" si="7"/>
        <v>#VALUE!</v>
      </c>
      <c r="S166" s="16"/>
    </row>
    <row r="167" spans="1:19" ht="150">
      <c r="A167" s="7">
        <v>166</v>
      </c>
      <c r="B167" s="8" t="s">
        <v>784</v>
      </c>
      <c r="C167" s="9" t="s">
        <v>785</v>
      </c>
      <c r="D167" s="10" t="s">
        <v>30</v>
      </c>
      <c r="E167" s="17">
        <v>2</v>
      </c>
      <c r="F167" s="10" t="s">
        <v>31</v>
      </c>
      <c r="G167" s="9" t="s">
        <v>786</v>
      </c>
      <c r="H167" s="10"/>
      <c r="I167" s="10"/>
      <c r="J167" s="18"/>
      <c r="K167" s="40" t="s">
        <v>787</v>
      </c>
      <c r="L167" s="12" t="s">
        <v>30</v>
      </c>
      <c r="M167" s="9" t="s">
        <v>788</v>
      </c>
      <c r="N167" s="19">
        <v>2</v>
      </c>
      <c r="O167" s="12">
        <v>0</v>
      </c>
      <c r="P167" s="19">
        <f t="shared" si="6"/>
        <v>2</v>
      </c>
      <c r="Q167" s="19" t="e">
        <f t="shared" si="8"/>
        <v>#VALUE!</v>
      </c>
      <c r="R167" s="15" t="e">
        <f t="shared" si="7"/>
        <v>#VALUE!</v>
      </c>
      <c r="S167" s="36" t="s">
        <v>789</v>
      </c>
    </row>
    <row r="168" spans="1:19" ht="90">
      <c r="A168" s="7">
        <v>167</v>
      </c>
      <c r="B168" s="8" t="s">
        <v>790</v>
      </c>
      <c r="C168" s="9" t="s">
        <v>791</v>
      </c>
      <c r="D168" s="10" t="s">
        <v>30</v>
      </c>
      <c r="E168" s="17">
        <v>8</v>
      </c>
      <c r="F168" s="10" t="s">
        <v>31</v>
      </c>
      <c r="G168" s="9" t="s">
        <v>792</v>
      </c>
      <c r="H168" s="10"/>
      <c r="I168" s="10"/>
      <c r="J168" s="18"/>
      <c r="K168" s="132"/>
      <c r="L168" s="13" t="s">
        <v>30</v>
      </c>
      <c r="M168" s="14" t="s">
        <v>653</v>
      </c>
      <c r="N168" s="15">
        <v>8</v>
      </c>
      <c r="O168" s="13">
        <v>0</v>
      </c>
      <c r="P168" s="15">
        <f t="shared" si="6"/>
        <v>8</v>
      </c>
      <c r="Q168" s="19" t="e">
        <f t="shared" si="8"/>
        <v>#VALUE!</v>
      </c>
      <c r="R168" s="15" t="e">
        <f t="shared" si="7"/>
        <v>#VALUE!</v>
      </c>
      <c r="S168" s="14" t="s">
        <v>793</v>
      </c>
    </row>
    <row r="169" spans="1:19" ht="45">
      <c r="A169" s="7">
        <v>168</v>
      </c>
      <c r="B169" s="8" t="s">
        <v>794</v>
      </c>
      <c r="C169" s="21" t="s">
        <v>795</v>
      </c>
      <c r="D169" s="10" t="s">
        <v>30</v>
      </c>
      <c r="E169" s="17">
        <v>1</v>
      </c>
      <c r="F169" s="10" t="s">
        <v>31</v>
      </c>
      <c r="G169" s="21" t="s">
        <v>146</v>
      </c>
      <c r="H169" s="10"/>
      <c r="I169" s="10"/>
      <c r="J169" s="18"/>
      <c r="K169" s="132"/>
      <c r="L169" s="12" t="s">
        <v>30</v>
      </c>
      <c r="M169" s="16" t="s">
        <v>148</v>
      </c>
      <c r="N169" s="19">
        <v>1</v>
      </c>
      <c r="O169" s="12">
        <v>0</v>
      </c>
      <c r="P169" s="19">
        <f t="shared" si="6"/>
        <v>1</v>
      </c>
      <c r="Q169" s="19" t="e">
        <f t="shared" si="8"/>
        <v>#VALUE!</v>
      </c>
      <c r="R169" s="15" t="e">
        <f t="shared" si="7"/>
        <v>#VALUE!</v>
      </c>
      <c r="S169" s="16" t="s">
        <v>261</v>
      </c>
    </row>
    <row r="170" spans="1:19" ht="120">
      <c r="A170" s="7">
        <v>169</v>
      </c>
      <c r="B170" s="8" t="s">
        <v>796</v>
      </c>
      <c r="C170" s="9" t="s">
        <v>797</v>
      </c>
      <c r="D170" s="10" t="s">
        <v>45</v>
      </c>
      <c r="E170" s="17" t="s">
        <v>191</v>
      </c>
      <c r="F170" s="10" t="s">
        <v>31</v>
      </c>
      <c r="G170" s="9" t="s">
        <v>798</v>
      </c>
      <c r="H170" s="10"/>
      <c r="I170" s="10"/>
      <c r="J170" s="18"/>
      <c r="K170" s="132"/>
      <c r="L170" s="13" t="s">
        <v>45</v>
      </c>
      <c r="M170" s="14" t="s">
        <v>640</v>
      </c>
      <c r="N170" s="15">
        <v>12</v>
      </c>
      <c r="O170" s="13">
        <v>2</v>
      </c>
      <c r="P170" s="15">
        <f t="shared" si="6"/>
        <v>14</v>
      </c>
      <c r="Q170" s="19" t="e">
        <f t="shared" si="8"/>
        <v>#VALUE!</v>
      </c>
      <c r="R170" s="15" t="e">
        <f t="shared" si="7"/>
        <v>#VALUE!</v>
      </c>
      <c r="S170" s="9" t="s">
        <v>799</v>
      </c>
    </row>
    <row r="171" spans="1:19" ht="60">
      <c r="A171" s="7">
        <v>170</v>
      </c>
      <c r="B171" s="8" t="s">
        <v>800</v>
      </c>
      <c r="C171" s="21" t="s">
        <v>801</v>
      </c>
      <c r="D171" s="10" t="s">
        <v>30</v>
      </c>
      <c r="E171" s="17">
        <v>1</v>
      </c>
      <c r="F171" s="10" t="s">
        <v>65</v>
      </c>
      <c r="G171" s="21" t="s">
        <v>802</v>
      </c>
      <c r="H171" s="10"/>
      <c r="I171" s="10"/>
      <c r="J171" s="18"/>
      <c r="K171" s="12"/>
      <c r="L171" s="12" t="s">
        <v>30</v>
      </c>
      <c r="M171" s="9" t="s">
        <v>803</v>
      </c>
      <c r="N171" s="19">
        <v>1</v>
      </c>
      <c r="O171" s="12">
        <v>0</v>
      </c>
      <c r="P171" s="19">
        <f t="shared" si="6"/>
        <v>1</v>
      </c>
      <c r="Q171" s="19" t="e">
        <f t="shared" si="8"/>
        <v>#VALUE!</v>
      </c>
      <c r="R171" s="15" t="e">
        <f t="shared" si="7"/>
        <v>#VALUE!</v>
      </c>
      <c r="S171" s="9" t="s">
        <v>802</v>
      </c>
    </row>
    <row r="172" spans="1:19" ht="405">
      <c r="A172" s="7">
        <v>171</v>
      </c>
      <c r="B172" s="8" t="s">
        <v>804</v>
      </c>
      <c r="C172" s="9" t="s">
        <v>805</v>
      </c>
      <c r="D172" s="10" t="s">
        <v>30</v>
      </c>
      <c r="E172" s="17">
        <v>1</v>
      </c>
      <c r="F172" s="10" t="s">
        <v>31</v>
      </c>
      <c r="G172" s="9" t="s">
        <v>806</v>
      </c>
      <c r="H172" s="10"/>
      <c r="I172" s="10"/>
      <c r="J172" s="18" t="s">
        <v>807</v>
      </c>
      <c r="K172" s="115" t="s">
        <v>808</v>
      </c>
      <c r="L172" s="12" t="s">
        <v>30</v>
      </c>
      <c r="M172" s="23" t="s">
        <v>809</v>
      </c>
      <c r="N172" s="19">
        <v>1</v>
      </c>
      <c r="O172" s="12">
        <v>0</v>
      </c>
      <c r="P172" s="19">
        <f t="shared" si="6"/>
        <v>1</v>
      </c>
      <c r="Q172" s="19" t="e">
        <f t="shared" si="8"/>
        <v>#VALUE!</v>
      </c>
      <c r="R172" s="15" t="e">
        <f t="shared" si="7"/>
        <v>#VALUE!</v>
      </c>
      <c r="S172" s="36" t="s">
        <v>810</v>
      </c>
    </row>
    <row r="173" spans="1:19" ht="240">
      <c r="A173" s="7">
        <v>172</v>
      </c>
      <c r="B173" s="8" t="s">
        <v>811</v>
      </c>
      <c r="C173" s="9" t="s">
        <v>812</v>
      </c>
      <c r="D173" s="10" t="s">
        <v>30</v>
      </c>
      <c r="E173" s="17">
        <v>3</v>
      </c>
      <c r="F173" s="10" t="s">
        <v>31</v>
      </c>
      <c r="G173" s="9" t="s">
        <v>813</v>
      </c>
      <c r="H173" s="10"/>
      <c r="I173" s="10"/>
      <c r="J173" s="18" t="s">
        <v>814</v>
      </c>
      <c r="K173" s="115"/>
      <c r="L173" s="12" t="s">
        <v>30</v>
      </c>
      <c r="M173" s="9" t="s">
        <v>154</v>
      </c>
      <c r="N173" s="19">
        <v>3</v>
      </c>
      <c r="O173" s="12">
        <v>0</v>
      </c>
      <c r="P173" s="19">
        <f t="shared" si="6"/>
        <v>3</v>
      </c>
      <c r="Q173" s="19" t="e">
        <f t="shared" si="8"/>
        <v>#VALUE!</v>
      </c>
      <c r="R173" s="15" t="e">
        <f t="shared" si="7"/>
        <v>#VALUE!</v>
      </c>
      <c r="S173" s="9" t="s">
        <v>815</v>
      </c>
    </row>
    <row r="174" spans="1:19" ht="30">
      <c r="A174" s="7">
        <v>173</v>
      </c>
      <c r="B174" s="8" t="s">
        <v>816</v>
      </c>
      <c r="C174" s="9" t="s">
        <v>817</v>
      </c>
      <c r="D174" s="10" t="s">
        <v>30</v>
      </c>
      <c r="E174" s="17">
        <v>1</v>
      </c>
      <c r="F174" s="10" t="s">
        <v>31</v>
      </c>
      <c r="G174" s="9" t="s">
        <v>818</v>
      </c>
      <c r="H174" s="10"/>
      <c r="I174" s="10"/>
      <c r="J174" s="18" t="s">
        <v>819</v>
      </c>
      <c r="K174" s="115"/>
      <c r="L174" s="12" t="s">
        <v>30</v>
      </c>
      <c r="M174" s="16" t="s">
        <v>820</v>
      </c>
      <c r="N174" s="19">
        <v>1</v>
      </c>
      <c r="O174" s="12">
        <v>0</v>
      </c>
      <c r="P174" s="19">
        <f t="shared" si="6"/>
        <v>1</v>
      </c>
      <c r="Q174" s="19" t="e">
        <f t="shared" si="8"/>
        <v>#VALUE!</v>
      </c>
      <c r="R174" s="15" t="e">
        <f t="shared" si="7"/>
        <v>#VALUE!</v>
      </c>
      <c r="S174" s="16" t="s">
        <v>821</v>
      </c>
    </row>
    <row r="175" spans="1:19" ht="270">
      <c r="A175" s="7">
        <v>174</v>
      </c>
      <c r="B175" s="8" t="s">
        <v>822</v>
      </c>
      <c r="C175" s="9" t="s">
        <v>823</v>
      </c>
      <c r="D175" s="10" t="s">
        <v>30</v>
      </c>
      <c r="E175" s="17">
        <v>2</v>
      </c>
      <c r="F175" s="10" t="s">
        <v>31</v>
      </c>
      <c r="G175" s="9" t="s">
        <v>824</v>
      </c>
      <c r="H175" s="9" t="s">
        <v>132</v>
      </c>
      <c r="I175" s="9" t="s">
        <v>133</v>
      </c>
      <c r="J175" s="18" t="s">
        <v>825</v>
      </c>
      <c r="K175" s="115"/>
      <c r="L175" s="12" t="s">
        <v>30</v>
      </c>
      <c r="M175" s="9" t="s">
        <v>826</v>
      </c>
      <c r="N175" s="19">
        <v>2</v>
      </c>
      <c r="O175" s="12">
        <v>0</v>
      </c>
      <c r="P175" s="19">
        <f t="shared" si="6"/>
        <v>2</v>
      </c>
      <c r="Q175" s="19" t="e">
        <f t="shared" si="8"/>
        <v>#VALUE!</v>
      </c>
      <c r="R175" s="15" t="e">
        <f t="shared" si="7"/>
        <v>#VALUE!</v>
      </c>
      <c r="S175" s="9" t="s">
        <v>827</v>
      </c>
    </row>
    <row r="176" spans="1:19" ht="45">
      <c r="A176" s="7">
        <v>175</v>
      </c>
      <c r="B176" s="8" t="s">
        <v>828</v>
      </c>
      <c r="C176" s="21" t="s">
        <v>829</v>
      </c>
      <c r="D176" s="10" t="s">
        <v>30</v>
      </c>
      <c r="E176" s="17">
        <v>1</v>
      </c>
      <c r="F176" s="10" t="s">
        <v>31</v>
      </c>
      <c r="G176" s="21" t="s">
        <v>146</v>
      </c>
      <c r="H176" s="10"/>
      <c r="I176" s="10"/>
      <c r="J176" s="18"/>
      <c r="K176" s="115"/>
      <c r="L176" s="12" t="s">
        <v>30</v>
      </c>
      <c r="M176" s="16" t="s">
        <v>148</v>
      </c>
      <c r="N176" s="19">
        <v>1</v>
      </c>
      <c r="O176" s="12">
        <v>0</v>
      </c>
      <c r="P176" s="19">
        <f t="shared" si="6"/>
        <v>1</v>
      </c>
      <c r="Q176" s="19" t="e">
        <f t="shared" si="8"/>
        <v>#VALUE!</v>
      </c>
      <c r="R176" s="15" t="e">
        <f t="shared" si="7"/>
        <v>#VALUE!</v>
      </c>
      <c r="S176" s="16" t="s">
        <v>261</v>
      </c>
    </row>
    <row r="177" spans="1:19" ht="210">
      <c r="A177" s="7">
        <v>176</v>
      </c>
      <c r="B177" s="8" t="s">
        <v>830</v>
      </c>
      <c r="C177" s="9" t="s">
        <v>831</v>
      </c>
      <c r="D177" s="10" t="s">
        <v>45</v>
      </c>
      <c r="E177" s="17" t="s">
        <v>191</v>
      </c>
      <c r="F177" s="10" t="s">
        <v>31</v>
      </c>
      <c r="G177" s="9" t="s">
        <v>832</v>
      </c>
      <c r="H177" s="10"/>
      <c r="I177" s="10"/>
      <c r="J177" s="18" t="s">
        <v>833</v>
      </c>
      <c r="K177" s="115"/>
      <c r="L177" s="12" t="s">
        <v>45</v>
      </c>
      <c r="M177" s="9" t="s">
        <v>154</v>
      </c>
      <c r="N177" s="19">
        <v>12</v>
      </c>
      <c r="O177" s="12">
        <v>2</v>
      </c>
      <c r="P177" s="19">
        <f t="shared" si="6"/>
        <v>14</v>
      </c>
      <c r="Q177" s="19" t="e">
        <f t="shared" si="8"/>
        <v>#VALUE!</v>
      </c>
      <c r="R177" s="15" t="e">
        <f t="shared" si="7"/>
        <v>#VALUE!</v>
      </c>
      <c r="S177" s="9" t="s">
        <v>834</v>
      </c>
    </row>
    <row r="178" spans="1:19" ht="60">
      <c r="A178" s="7">
        <v>177</v>
      </c>
      <c r="B178" s="8" t="s">
        <v>835</v>
      </c>
      <c r="C178" s="9" t="s">
        <v>836</v>
      </c>
      <c r="D178" s="10" t="s">
        <v>30</v>
      </c>
      <c r="E178" s="17">
        <v>8</v>
      </c>
      <c r="F178" s="10" t="s">
        <v>31</v>
      </c>
      <c r="G178" s="9" t="s">
        <v>837</v>
      </c>
      <c r="H178" s="10"/>
      <c r="I178" s="10"/>
      <c r="J178" s="18" t="s">
        <v>838</v>
      </c>
      <c r="K178" s="115"/>
      <c r="L178" s="12" t="s">
        <v>30</v>
      </c>
      <c r="M178" s="16" t="s">
        <v>154</v>
      </c>
      <c r="N178" s="19">
        <v>8</v>
      </c>
      <c r="O178" s="12">
        <v>0</v>
      </c>
      <c r="P178" s="19">
        <f t="shared" si="6"/>
        <v>8</v>
      </c>
      <c r="Q178" s="19" t="e">
        <f t="shared" si="8"/>
        <v>#VALUE!</v>
      </c>
      <c r="R178" s="15" t="e">
        <f t="shared" si="7"/>
        <v>#VALUE!</v>
      </c>
      <c r="S178" s="9" t="s">
        <v>839</v>
      </c>
    </row>
    <row r="179" spans="1:19" ht="60">
      <c r="A179" s="7">
        <v>178</v>
      </c>
      <c r="B179" s="8" t="s">
        <v>840</v>
      </c>
      <c r="C179" s="9" t="s">
        <v>841</v>
      </c>
      <c r="D179" s="10" t="s">
        <v>30</v>
      </c>
      <c r="E179" s="17">
        <v>8</v>
      </c>
      <c r="F179" s="10" t="s">
        <v>31</v>
      </c>
      <c r="G179" s="9" t="s">
        <v>842</v>
      </c>
      <c r="H179" s="10"/>
      <c r="I179" s="10"/>
      <c r="J179" s="18" t="s">
        <v>843</v>
      </c>
      <c r="K179" s="115"/>
      <c r="L179" s="12" t="s">
        <v>30</v>
      </c>
      <c r="M179" s="9" t="s">
        <v>154</v>
      </c>
      <c r="N179" s="19">
        <v>8</v>
      </c>
      <c r="O179" s="12">
        <v>0</v>
      </c>
      <c r="P179" s="19">
        <f t="shared" si="6"/>
        <v>8</v>
      </c>
      <c r="Q179" s="19" t="e">
        <f t="shared" si="8"/>
        <v>#VALUE!</v>
      </c>
      <c r="R179" s="15" t="e">
        <f t="shared" si="7"/>
        <v>#VALUE!</v>
      </c>
      <c r="S179" s="9" t="s">
        <v>844</v>
      </c>
    </row>
    <row r="180" spans="1:19" ht="225">
      <c r="A180" s="7">
        <v>179</v>
      </c>
      <c r="B180" s="8" t="s">
        <v>845</v>
      </c>
      <c r="C180" s="9" t="s">
        <v>846</v>
      </c>
      <c r="D180" s="10" t="s">
        <v>30</v>
      </c>
      <c r="E180" s="17">
        <v>1</v>
      </c>
      <c r="F180" s="10" t="s">
        <v>31</v>
      </c>
      <c r="G180" s="9" t="s">
        <v>847</v>
      </c>
      <c r="H180" s="10"/>
      <c r="I180" s="10"/>
      <c r="J180" s="18" t="s">
        <v>848</v>
      </c>
      <c r="K180" s="115"/>
      <c r="L180" s="12" t="s">
        <v>30</v>
      </c>
      <c r="M180" s="58" t="s">
        <v>849</v>
      </c>
      <c r="N180" s="19">
        <v>1</v>
      </c>
      <c r="O180" s="12">
        <v>0</v>
      </c>
      <c r="P180" s="19">
        <f t="shared" si="6"/>
        <v>1</v>
      </c>
      <c r="Q180" s="19" t="e">
        <f t="shared" si="8"/>
        <v>#VALUE!</v>
      </c>
      <c r="R180" s="15" t="e">
        <f t="shared" si="7"/>
        <v>#VALUE!</v>
      </c>
      <c r="S180" s="9" t="s">
        <v>850</v>
      </c>
    </row>
    <row r="181" spans="1:19" ht="180">
      <c r="A181" s="7">
        <v>180</v>
      </c>
      <c r="B181" s="8" t="s">
        <v>851</v>
      </c>
      <c r="C181" s="9" t="s">
        <v>852</v>
      </c>
      <c r="D181" s="10" t="s">
        <v>30</v>
      </c>
      <c r="E181" s="17">
        <v>3</v>
      </c>
      <c r="F181" s="10" t="s">
        <v>31</v>
      </c>
      <c r="G181" s="9" t="s">
        <v>853</v>
      </c>
      <c r="H181" s="10"/>
      <c r="I181" s="10"/>
      <c r="J181" s="18" t="s">
        <v>854</v>
      </c>
      <c r="K181" s="115"/>
      <c r="L181" s="12" t="s">
        <v>30</v>
      </c>
      <c r="M181" s="9" t="s">
        <v>678</v>
      </c>
      <c r="N181" s="19">
        <v>3</v>
      </c>
      <c r="O181" s="12">
        <v>0</v>
      </c>
      <c r="P181" s="19">
        <f t="shared" si="6"/>
        <v>3</v>
      </c>
      <c r="Q181" s="19" t="e">
        <f t="shared" si="8"/>
        <v>#VALUE!</v>
      </c>
      <c r="R181" s="15" t="e">
        <f t="shared" si="7"/>
        <v>#VALUE!</v>
      </c>
      <c r="S181" s="9" t="s">
        <v>855</v>
      </c>
    </row>
    <row r="182" spans="1:19" ht="30">
      <c r="A182" s="7">
        <v>181</v>
      </c>
      <c r="B182" s="8" t="s">
        <v>856</v>
      </c>
      <c r="C182" s="9" t="s">
        <v>857</v>
      </c>
      <c r="D182" s="10" t="s">
        <v>30</v>
      </c>
      <c r="E182" s="17">
        <v>1</v>
      </c>
      <c r="F182" s="10" t="s">
        <v>31</v>
      </c>
      <c r="G182" s="9" t="s">
        <v>818</v>
      </c>
      <c r="H182" s="10"/>
      <c r="I182" s="10"/>
      <c r="J182" s="18"/>
      <c r="K182" s="115"/>
      <c r="L182" s="12" t="s">
        <v>30</v>
      </c>
      <c r="M182" s="16" t="s">
        <v>820</v>
      </c>
      <c r="N182" s="19">
        <v>1</v>
      </c>
      <c r="O182" s="12">
        <v>0</v>
      </c>
      <c r="P182" s="19">
        <f t="shared" si="6"/>
        <v>1</v>
      </c>
      <c r="Q182" s="19" t="e">
        <f t="shared" si="8"/>
        <v>#VALUE!</v>
      </c>
      <c r="R182" s="15" t="e">
        <f t="shared" si="7"/>
        <v>#VALUE!</v>
      </c>
      <c r="S182" s="16" t="s">
        <v>821</v>
      </c>
    </row>
    <row r="183" spans="1:19" ht="225">
      <c r="A183" s="7">
        <v>182</v>
      </c>
      <c r="B183" s="8" t="s">
        <v>858</v>
      </c>
      <c r="C183" s="9" t="s">
        <v>859</v>
      </c>
      <c r="D183" s="10" t="s">
        <v>30</v>
      </c>
      <c r="E183" s="17">
        <v>2</v>
      </c>
      <c r="F183" s="10" t="s">
        <v>31</v>
      </c>
      <c r="G183" s="9" t="s">
        <v>860</v>
      </c>
      <c r="H183" s="9" t="s">
        <v>132</v>
      </c>
      <c r="I183" s="9" t="s">
        <v>133</v>
      </c>
      <c r="J183" s="18" t="s">
        <v>861</v>
      </c>
      <c r="K183" s="115"/>
      <c r="L183" s="12" t="s">
        <v>30</v>
      </c>
      <c r="M183" s="14" t="s">
        <v>826</v>
      </c>
      <c r="N183" s="19">
        <v>2</v>
      </c>
      <c r="O183" s="12">
        <v>0</v>
      </c>
      <c r="P183" s="19">
        <f t="shared" si="6"/>
        <v>2</v>
      </c>
      <c r="Q183" s="19" t="e">
        <f t="shared" si="8"/>
        <v>#VALUE!</v>
      </c>
      <c r="R183" s="15" t="e">
        <f t="shared" si="7"/>
        <v>#VALUE!</v>
      </c>
      <c r="S183" s="9" t="s">
        <v>862</v>
      </c>
    </row>
    <row r="184" spans="1:19" ht="45">
      <c r="A184" s="7">
        <v>183</v>
      </c>
      <c r="B184" s="8" t="s">
        <v>863</v>
      </c>
      <c r="C184" s="21" t="s">
        <v>864</v>
      </c>
      <c r="D184" s="10" t="s">
        <v>30</v>
      </c>
      <c r="E184" s="17">
        <v>1</v>
      </c>
      <c r="F184" s="10" t="s">
        <v>31</v>
      </c>
      <c r="G184" s="21" t="s">
        <v>146</v>
      </c>
      <c r="H184" s="10"/>
      <c r="I184" s="10"/>
      <c r="J184" s="18"/>
      <c r="K184" s="115"/>
      <c r="L184" s="12" t="s">
        <v>30</v>
      </c>
      <c r="M184" s="16" t="s">
        <v>148</v>
      </c>
      <c r="N184" s="19">
        <v>1</v>
      </c>
      <c r="O184" s="12">
        <v>0</v>
      </c>
      <c r="P184" s="19">
        <f t="shared" si="6"/>
        <v>1</v>
      </c>
      <c r="Q184" s="19" t="e">
        <f t="shared" si="8"/>
        <v>#VALUE!</v>
      </c>
      <c r="R184" s="15" t="e">
        <f t="shared" si="7"/>
        <v>#VALUE!</v>
      </c>
      <c r="S184" s="16" t="s">
        <v>261</v>
      </c>
    </row>
    <row r="185" spans="1:19" ht="165">
      <c r="A185" s="7">
        <v>184</v>
      </c>
      <c r="B185" s="8" t="s">
        <v>865</v>
      </c>
      <c r="C185" s="9" t="s">
        <v>866</v>
      </c>
      <c r="D185" s="10" t="s">
        <v>45</v>
      </c>
      <c r="E185" s="17" t="s">
        <v>191</v>
      </c>
      <c r="F185" s="10" t="s">
        <v>31</v>
      </c>
      <c r="G185" s="9" t="s">
        <v>867</v>
      </c>
      <c r="H185" s="10"/>
      <c r="I185" s="10"/>
      <c r="J185" s="18" t="s">
        <v>868</v>
      </c>
      <c r="K185" s="115"/>
      <c r="L185" s="12" t="s">
        <v>45</v>
      </c>
      <c r="M185" s="9" t="s">
        <v>869</v>
      </c>
      <c r="N185" s="19">
        <v>12</v>
      </c>
      <c r="O185" s="12">
        <v>2</v>
      </c>
      <c r="P185" s="19">
        <f t="shared" si="6"/>
        <v>14</v>
      </c>
      <c r="Q185" s="19" t="e">
        <f t="shared" si="8"/>
        <v>#VALUE!</v>
      </c>
      <c r="R185" s="15" t="e">
        <f t="shared" si="7"/>
        <v>#VALUE!</v>
      </c>
      <c r="S185" s="9" t="s">
        <v>870</v>
      </c>
    </row>
    <row r="186" spans="1:19" ht="75">
      <c r="A186" s="7">
        <v>185</v>
      </c>
      <c r="B186" s="8" t="s">
        <v>871</v>
      </c>
      <c r="C186" s="9" t="s">
        <v>872</v>
      </c>
      <c r="D186" s="10" t="s">
        <v>30</v>
      </c>
      <c r="E186" s="17">
        <v>8</v>
      </c>
      <c r="F186" s="10" t="s">
        <v>31</v>
      </c>
      <c r="G186" s="9" t="s">
        <v>873</v>
      </c>
      <c r="H186" s="10"/>
      <c r="I186" s="10"/>
      <c r="J186" s="18" t="s">
        <v>874</v>
      </c>
      <c r="K186" s="115"/>
      <c r="L186" s="12" t="s">
        <v>30</v>
      </c>
      <c r="M186" s="16" t="s">
        <v>154</v>
      </c>
      <c r="N186" s="19">
        <v>8</v>
      </c>
      <c r="O186" s="12">
        <v>0</v>
      </c>
      <c r="P186" s="19">
        <f t="shared" si="6"/>
        <v>8</v>
      </c>
      <c r="Q186" s="19" t="e">
        <f t="shared" si="8"/>
        <v>#VALUE!</v>
      </c>
      <c r="R186" s="15" t="e">
        <f t="shared" si="7"/>
        <v>#VALUE!</v>
      </c>
      <c r="S186" s="9" t="s">
        <v>875</v>
      </c>
    </row>
    <row r="187" spans="1:19" ht="75">
      <c r="A187" s="7">
        <v>186</v>
      </c>
      <c r="B187" s="8" t="s">
        <v>876</v>
      </c>
      <c r="C187" s="9" t="s">
        <v>877</v>
      </c>
      <c r="D187" s="10" t="s">
        <v>30</v>
      </c>
      <c r="E187" s="17">
        <v>8</v>
      </c>
      <c r="F187" s="10" t="s">
        <v>31</v>
      </c>
      <c r="G187" s="9" t="s">
        <v>842</v>
      </c>
      <c r="H187" s="10"/>
      <c r="I187" s="10"/>
      <c r="J187" s="18" t="s">
        <v>878</v>
      </c>
      <c r="K187" s="115"/>
      <c r="L187" s="12" t="s">
        <v>30</v>
      </c>
      <c r="M187" s="9" t="s">
        <v>154</v>
      </c>
      <c r="N187" s="19">
        <v>8</v>
      </c>
      <c r="O187" s="12">
        <v>0</v>
      </c>
      <c r="P187" s="19">
        <f t="shared" si="6"/>
        <v>8</v>
      </c>
      <c r="Q187" s="19" t="e">
        <f t="shared" si="8"/>
        <v>#VALUE!</v>
      </c>
      <c r="R187" s="15" t="e">
        <f t="shared" si="7"/>
        <v>#VALUE!</v>
      </c>
      <c r="S187" s="9" t="s">
        <v>879</v>
      </c>
    </row>
    <row r="188" spans="1:19" ht="210">
      <c r="A188" s="7">
        <v>187</v>
      </c>
      <c r="B188" s="8" t="s">
        <v>880</v>
      </c>
      <c r="C188" s="9" t="s">
        <v>881</v>
      </c>
      <c r="D188" s="10" t="s">
        <v>30</v>
      </c>
      <c r="E188" s="17">
        <v>1</v>
      </c>
      <c r="F188" s="10" t="s">
        <v>31</v>
      </c>
      <c r="G188" s="9" t="s">
        <v>882</v>
      </c>
      <c r="H188" s="10"/>
      <c r="I188" s="10"/>
      <c r="J188" s="18" t="s">
        <v>883</v>
      </c>
      <c r="K188" s="116"/>
      <c r="L188" s="12" t="s">
        <v>30</v>
      </c>
      <c r="M188" s="58" t="s">
        <v>884</v>
      </c>
      <c r="N188" s="19">
        <v>1</v>
      </c>
      <c r="O188" s="12">
        <v>0</v>
      </c>
      <c r="P188" s="19">
        <f t="shared" si="6"/>
        <v>1</v>
      </c>
      <c r="Q188" s="19" t="e">
        <f t="shared" si="8"/>
        <v>#VALUE!</v>
      </c>
      <c r="R188" s="15" t="e">
        <f t="shared" si="7"/>
        <v>#VALUE!</v>
      </c>
      <c r="S188" s="16" t="s">
        <v>885</v>
      </c>
    </row>
    <row r="189" spans="1:19" ht="135">
      <c r="A189" s="7">
        <v>188</v>
      </c>
      <c r="B189" s="8" t="s">
        <v>886</v>
      </c>
      <c r="C189" s="9" t="s">
        <v>887</v>
      </c>
      <c r="D189" s="10" t="s">
        <v>30</v>
      </c>
      <c r="E189" s="17">
        <v>3</v>
      </c>
      <c r="F189" s="10" t="s">
        <v>31</v>
      </c>
      <c r="G189" s="9" t="s">
        <v>888</v>
      </c>
      <c r="H189" s="10"/>
      <c r="I189" s="10"/>
      <c r="J189" s="18" t="s">
        <v>889</v>
      </c>
      <c r="K189" s="116"/>
      <c r="L189" s="12" t="s">
        <v>30</v>
      </c>
      <c r="M189" s="9" t="s">
        <v>154</v>
      </c>
      <c r="N189" s="19">
        <v>3</v>
      </c>
      <c r="O189" s="12">
        <v>0</v>
      </c>
      <c r="P189" s="19">
        <f t="shared" si="6"/>
        <v>3</v>
      </c>
      <c r="Q189" s="19" t="e">
        <f t="shared" si="8"/>
        <v>#VALUE!</v>
      </c>
      <c r="R189" s="15" t="e">
        <f t="shared" si="7"/>
        <v>#VALUE!</v>
      </c>
      <c r="S189" s="9" t="s">
        <v>890</v>
      </c>
    </row>
    <row r="190" spans="1:19" ht="30">
      <c r="A190" s="7">
        <v>189</v>
      </c>
      <c r="B190" s="8" t="s">
        <v>891</v>
      </c>
      <c r="C190" s="9" t="s">
        <v>892</v>
      </c>
      <c r="D190" s="10" t="s">
        <v>30</v>
      </c>
      <c r="E190" s="17">
        <v>1</v>
      </c>
      <c r="F190" s="10" t="s">
        <v>31</v>
      </c>
      <c r="G190" s="9" t="s">
        <v>818</v>
      </c>
      <c r="H190" s="10"/>
      <c r="I190" s="10"/>
      <c r="J190" s="18"/>
      <c r="K190" s="116"/>
      <c r="L190" s="12" t="s">
        <v>30</v>
      </c>
      <c r="M190" s="16" t="s">
        <v>820</v>
      </c>
      <c r="N190" s="19">
        <v>1</v>
      </c>
      <c r="O190" s="12">
        <v>0</v>
      </c>
      <c r="P190" s="19">
        <f t="shared" si="6"/>
        <v>1</v>
      </c>
      <c r="Q190" s="19" t="e">
        <f t="shared" si="8"/>
        <v>#VALUE!</v>
      </c>
      <c r="R190" s="15" t="e">
        <f t="shared" si="7"/>
        <v>#VALUE!</v>
      </c>
      <c r="S190" s="16" t="s">
        <v>893</v>
      </c>
    </row>
    <row r="191" spans="1:19" ht="105">
      <c r="A191" s="7">
        <v>190</v>
      </c>
      <c r="B191" s="8" t="s">
        <v>894</v>
      </c>
      <c r="C191" s="9" t="s">
        <v>895</v>
      </c>
      <c r="D191" s="10" t="s">
        <v>30</v>
      </c>
      <c r="E191" s="17">
        <v>2</v>
      </c>
      <c r="F191" s="10" t="s">
        <v>31</v>
      </c>
      <c r="G191" s="9" t="s">
        <v>896</v>
      </c>
      <c r="H191" s="9" t="s">
        <v>132</v>
      </c>
      <c r="I191" s="9" t="s">
        <v>133</v>
      </c>
      <c r="J191" s="18" t="s">
        <v>897</v>
      </c>
      <c r="K191" s="116"/>
      <c r="L191" s="12" t="s">
        <v>30</v>
      </c>
      <c r="M191" s="21" t="s">
        <v>898</v>
      </c>
      <c r="N191" s="19">
        <v>2</v>
      </c>
      <c r="O191" s="12">
        <v>0</v>
      </c>
      <c r="P191" s="19">
        <f t="shared" si="6"/>
        <v>2</v>
      </c>
      <c r="Q191" s="19" t="e">
        <f t="shared" si="8"/>
        <v>#VALUE!</v>
      </c>
      <c r="R191" s="15" t="e">
        <f t="shared" si="7"/>
        <v>#VALUE!</v>
      </c>
      <c r="S191" s="9" t="s">
        <v>899</v>
      </c>
    </row>
    <row r="192" spans="1:19" ht="45">
      <c r="A192" s="7">
        <v>191</v>
      </c>
      <c r="B192" s="8" t="s">
        <v>900</v>
      </c>
      <c r="C192" s="21" t="s">
        <v>901</v>
      </c>
      <c r="D192" s="10" t="s">
        <v>30</v>
      </c>
      <c r="E192" s="17">
        <v>1</v>
      </c>
      <c r="F192" s="10" t="s">
        <v>31</v>
      </c>
      <c r="G192" s="21" t="s">
        <v>146</v>
      </c>
      <c r="H192" s="10"/>
      <c r="I192" s="10"/>
      <c r="J192" s="18"/>
      <c r="K192" s="116"/>
      <c r="L192" s="12" t="s">
        <v>30</v>
      </c>
      <c r="M192" s="16" t="s">
        <v>902</v>
      </c>
      <c r="N192" s="19">
        <v>1</v>
      </c>
      <c r="O192" s="12">
        <v>0</v>
      </c>
      <c r="P192" s="19">
        <f t="shared" si="6"/>
        <v>1</v>
      </c>
      <c r="Q192" s="19" t="e">
        <f t="shared" si="8"/>
        <v>#VALUE!</v>
      </c>
      <c r="R192" s="15" t="e">
        <f t="shared" si="7"/>
        <v>#VALUE!</v>
      </c>
      <c r="S192" s="16" t="s">
        <v>282</v>
      </c>
    </row>
    <row r="193" spans="1:19" ht="150">
      <c r="A193" s="7">
        <v>192</v>
      </c>
      <c r="B193" s="8" t="s">
        <v>903</v>
      </c>
      <c r="C193" s="9" t="s">
        <v>904</v>
      </c>
      <c r="D193" s="10" t="s">
        <v>30</v>
      </c>
      <c r="E193" s="17" t="s">
        <v>191</v>
      </c>
      <c r="F193" s="10" t="s">
        <v>31</v>
      </c>
      <c r="G193" s="9" t="s">
        <v>905</v>
      </c>
      <c r="H193" s="10"/>
      <c r="I193" s="10"/>
      <c r="J193" s="18" t="s">
        <v>906</v>
      </c>
      <c r="K193" s="116"/>
      <c r="L193" s="12" t="s">
        <v>30</v>
      </c>
      <c r="M193" s="9" t="s">
        <v>905</v>
      </c>
      <c r="N193" s="19">
        <v>12</v>
      </c>
      <c r="O193" s="12">
        <v>2</v>
      </c>
      <c r="P193" s="19">
        <f t="shared" si="6"/>
        <v>14</v>
      </c>
      <c r="Q193" s="19" t="e">
        <f t="shared" si="8"/>
        <v>#VALUE!</v>
      </c>
      <c r="R193" s="15" t="e">
        <f t="shared" si="7"/>
        <v>#VALUE!</v>
      </c>
      <c r="S193" s="9" t="s">
        <v>907</v>
      </c>
    </row>
    <row r="194" spans="1:19" ht="75">
      <c r="A194" s="7">
        <v>193</v>
      </c>
      <c r="B194" s="8" t="s">
        <v>908</v>
      </c>
      <c r="C194" s="9" t="s">
        <v>909</v>
      </c>
      <c r="D194" s="10" t="s">
        <v>30</v>
      </c>
      <c r="E194" s="17">
        <v>8</v>
      </c>
      <c r="F194" s="10" t="s">
        <v>31</v>
      </c>
      <c r="G194" s="9" t="s">
        <v>910</v>
      </c>
      <c r="H194" s="10"/>
      <c r="I194" s="10"/>
      <c r="J194" s="18" t="s">
        <v>911</v>
      </c>
      <c r="K194" s="116"/>
      <c r="L194" s="12" t="s">
        <v>30</v>
      </c>
      <c r="M194" s="16" t="s">
        <v>154</v>
      </c>
      <c r="N194" s="19">
        <v>8</v>
      </c>
      <c r="O194" s="12">
        <v>0</v>
      </c>
      <c r="P194" s="19">
        <f t="shared" ref="P194:P211" si="9">+N194+O194</f>
        <v>8</v>
      </c>
      <c r="Q194" s="19" t="e">
        <f t="shared" si="8"/>
        <v>#VALUE!</v>
      </c>
      <c r="R194" s="15" t="e">
        <f t="shared" si="7"/>
        <v>#VALUE!</v>
      </c>
      <c r="S194" s="9" t="s">
        <v>912</v>
      </c>
    </row>
    <row r="195" spans="1:19" ht="105">
      <c r="A195" s="7">
        <v>194</v>
      </c>
      <c r="B195" s="8" t="s">
        <v>913</v>
      </c>
      <c r="C195" s="9" t="s">
        <v>914</v>
      </c>
      <c r="D195" s="10" t="s">
        <v>30</v>
      </c>
      <c r="E195" s="17">
        <v>8</v>
      </c>
      <c r="F195" s="10" t="s">
        <v>31</v>
      </c>
      <c r="G195" s="9" t="s">
        <v>915</v>
      </c>
      <c r="H195" s="10"/>
      <c r="I195" s="10"/>
      <c r="J195" s="18" t="s">
        <v>916</v>
      </c>
      <c r="K195" s="116"/>
      <c r="L195" s="12" t="s">
        <v>30</v>
      </c>
      <c r="M195" s="9" t="s">
        <v>154</v>
      </c>
      <c r="N195" s="19">
        <v>8</v>
      </c>
      <c r="O195" s="12">
        <v>0</v>
      </c>
      <c r="P195" s="19">
        <f t="shared" si="9"/>
        <v>8</v>
      </c>
      <c r="Q195" s="19" t="e">
        <f t="shared" si="8"/>
        <v>#VALUE!</v>
      </c>
      <c r="R195" s="15" t="e">
        <f t="shared" ref="R195:R258" si="10">Q195+P195-1</f>
        <v>#VALUE!</v>
      </c>
      <c r="S195" s="9" t="s">
        <v>917</v>
      </c>
    </row>
    <row r="196" spans="1:19" ht="150">
      <c r="A196" s="7">
        <v>195</v>
      </c>
      <c r="B196" s="31" t="s">
        <v>918</v>
      </c>
      <c r="C196" s="32" t="s">
        <v>919</v>
      </c>
      <c r="D196" s="33" t="s">
        <v>30</v>
      </c>
      <c r="E196" s="34">
        <v>1</v>
      </c>
      <c r="F196" s="33" t="s">
        <v>31</v>
      </c>
      <c r="G196" s="59" t="s">
        <v>920</v>
      </c>
      <c r="H196" s="33"/>
      <c r="I196" s="33"/>
      <c r="J196" s="18" t="s">
        <v>921</v>
      </c>
      <c r="K196" s="117" t="s">
        <v>922</v>
      </c>
      <c r="L196" s="12" t="s">
        <v>30</v>
      </c>
      <c r="M196" s="14" t="s">
        <v>923</v>
      </c>
      <c r="N196" s="19">
        <v>1</v>
      </c>
      <c r="O196" s="12">
        <v>0</v>
      </c>
      <c r="P196" s="19">
        <f t="shared" si="9"/>
        <v>1</v>
      </c>
      <c r="Q196" s="19" t="e">
        <f t="shared" ref="Q196:Q259" si="11">R195+1</f>
        <v>#VALUE!</v>
      </c>
      <c r="R196" s="15" t="e">
        <f t="shared" si="10"/>
        <v>#VALUE!</v>
      </c>
      <c r="S196" s="16" t="s">
        <v>924</v>
      </c>
    </row>
    <row r="197" spans="1:19" ht="105">
      <c r="A197" s="7">
        <v>196</v>
      </c>
      <c r="B197" s="31" t="s">
        <v>925</v>
      </c>
      <c r="C197" s="32" t="s">
        <v>926</v>
      </c>
      <c r="D197" s="33" t="s">
        <v>30</v>
      </c>
      <c r="E197" s="34">
        <v>3</v>
      </c>
      <c r="F197" s="33" t="s">
        <v>31</v>
      </c>
      <c r="G197" s="32" t="s">
        <v>927</v>
      </c>
      <c r="H197" s="33"/>
      <c r="I197" s="33"/>
      <c r="J197" s="18" t="s">
        <v>928</v>
      </c>
      <c r="K197" s="118"/>
      <c r="L197" s="12" t="s">
        <v>30</v>
      </c>
      <c r="M197" s="9" t="s">
        <v>154</v>
      </c>
      <c r="N197" s="19">
        <v>3</v>
      </c>
      <c r="O197" s="12">
        <v>0</v>
      </c>
      <c r="P197" s="19">
        <f t="shared" si="9"/>
        <v>3</v>
      </c>
      <c r="Q197" s="19" t="e">
        <f t="shared" si="11"/>
        <v>#VALUE!</v>
      </c>
      <c r="R197" s="15" t="e">
        <f t="shared" si="10"/>
        <v>#VALUE!</v>
      </c>
      <c r="S197" s="9" t="s">
        <v>929</v>
      </c>
    </row>
    <row r="198" spans="1:19" ht="30">
      <c r="A198" s="7">
        <v>197</v>
      </c>
      <c r="B198" s="31" t="s">
        <v>930</v>
      </c>
      <c r="C198" s="32" t="s">
        <v>931</v>
      </c>
      <c r="D198" s="33" t="s">
        <v>30</v>
      </c>
      <c r="E198" s="34">
        <v>1</v>
      </c>
      <c r="F198" s="33" t="s">
        <v>31</v>
      </c>
      <c r="G198" s="59" t="s">
        <v>893</v>
      </c>
      <c r="H198" s="33"/>
      <c r="I198" s="33"/>
      <c r="J198" s="18"/>
      <c r="K198" s="118"/>
      <c r="L198" s="12" t="s">
        <v>30</v>
      </c>
      <c r="M198" s="16" t="s">
        <v>820</v>
      </c>
      <c r="N198" s="19">
        <v>1</v>
      </c>
      <c r="O198" s="12">
        <v>0</v>
      </c>
      <c r="P198" s="19">
        <f t="shared" si="9"/>
        <v>1</v>
      </c>
      <c r="Q198" s="19" t="e">
        <f t="shared" si="11"/>
        <v>#VALUE!</v>
      </c>
      <c r="R198" s="15" t="e">
        <f t="shared" si="10"/>
        <v>#VALUE!</v>
      </c>
      <c r="S198" s="16" t="s">
        <v>893</v>
      </c>
    </row>
    <row r="199" spans="1:19" ht="120">
      <c r="A199" s="7">
        <v>198</v>
      </c>
      <c r="B199" s="31" t="s">
        <v>932</v>
      </c>
      <c r="C199" s="32" t="s">
        <v>933</v>
      </c>
      <c r="D199" s="33" t="s">
        <v>30</v>
      </c>
      <c r="E199" s="34">
        <v>2</v>
      </c>
      <c r="F199" s="33" t="s">
        <v>31</v>
      </c>
      <c r="G199" s="32" t="s">
        <v>934</v>
      </c>
      <c r="H199" s="33"/>
      <c r="I199" s="33"/>
      <c r="J199" s="18" t="s">
        <v>935</v>
      </c>
      <c r="K199" s="118"/>
      <c r="L199" s="12" t="s">
        <v>30</v>
      </c>
      <c r="M199" s="14" t="s">
        <v>936</v>
      </c>
      <c r="N199" s="19">
        <v>2</v>
      </c>
      <c r="O199" s="12">
        <v>0</v>
      </c>
      <c r="P199" s="19">
        <f t="shared" si="9"/>
        <v>2</v>
      </c>
      <c r="Q199" s="19" t="e">
        <f t="shared" si="11"/>
        <v>#VALUE!</v>
      </c>
      <c r="R199" s="15" t="e">
        <f t="shared" si="10"/>
        <v>#VALUE!</v>
      </c>
      <c r="S199" s="9" t="s">
        <v>937</v>
      </c>
    </row>
    <row r="200" spans="1:19" ht="45">
      <c r="A200" s="7">
        <v>199</v>
      </c>
      <c r="B200" s="31" t="s">
        <v>938</v>
      </c>
      <c r="C200" s="37" t="s">
        <v>939</v>
      </c>
      <c r="D200" s="33" t="s">
        <v>30</v>
      </c>
      <c r="E200" s="34">
        <v>1</v>
      </c>
      <c r="F200" s="33" t="s">
        <v>31</v>
      </c>
      <c r="G200" s="59" t="s">
        <v>282</v>
      </c>
      <c r="H200" s="33"/>
      <c r="I200" s="33"/>
      <c r="J200" s="18"/>
      <c r="K200" s="118"/>
      <c r="L200" s="12" t="s">
        <v>30</v>
      </c>
      <c r="M200" s="16" t="s">
        <v>902</v>
      </c>
      <c r="N200" s="19">
        <v>1</v>
      </c>
      <c r="O200" s="12">
        <v>0</v>
      </c>
      <c r="P200" s="19">
        <f t="shared" si="9"/>
        <v>1</v>
      </c>
      <c r="Q200" s="19" t="e">
        <f t="shared" si="11"/>
        <v>#VALUE!</v>
      </c>
      <c r="R200" s="15" t="e">
        <f t="shared" si="10"/>
        <v>#VALUE!</v>
      </c>
      <c r="S200" s="16" t="s">
        <v>282</v>
      </c>
    </row>
    <row r="201" spans="1:19" ht="150">
      <c r="A201" s="7">
        <v>200</v>
      </c>
      <c r="B201" s="31" t="s">
        <v>940</v>
      </c>
      <c r="C201" s="32" t="s">
        <v>941</v>
      </c>
      <c r="D201" s="33" t="s">
        <v>45</v>
      </c>
      <c r="E201" s="34" t="s">
        <v>191</v>
      </c>
      <c r="F201" s="33" t="s">
        <v>31</v>
      </c>
      <c r="G201" s="32" t="s">
        <v>942</v>
      </c>
      <c r="H201" s="33"/>
      <c r="I201" s="33"/>
      <c r="J201" s="18" t="s">
        <v>943</v>
      </c>
      <c r="K201" s="118"/>
      <c r="L201" s="12" t="s">
        <v>45</v>
      </c>
      <c r="M201" s="9" t="s">
        <v>206</v>
      </c>
      <c r="N201" s="19">
        <v>12</v>
      </c>
      <c r="O201" s="12">
        <v>2</v>
      </c>
      <c r="P201" s="19">
        <f t="shared" si="9"/>
        <v>14</v>
      </c>
      <c r="Q201" s="19" t="e">
        <f t="shared" si="11"/>
        <v>#VALUE!</v>
      </c>
      <c r="R201" s="15" t="e">
        <f t="shared" si="10"/>
        <v>#VALUE!</v>
      </c>
      <c r="S201" s="9" t="s">
        <v>944</v>
      </c>
    </row>
    <row r="202" spans="1:19" ht="75">
      <c r="A202" s="7">
        <v>201</v>
      </c>
      <c r="B202" s="31" t="s">
        <v>945</v>
      </c>
      <c r="C202" s="32" t="s">
        <v>946</v>
      </c>
      <c r="D202" s="33" t="s">
        <v>30</v>
      </c>
      <c r="E202" s="34">
        <v>8</v>
      </c>
      <c r="F202" s="33" t="s">
        <v>31</v>
      </c>
      <c r="G202" s="32" t="s">
        <v>947</v>
      </c>
      <c r="H202" s="33"/>
      <c r="I202" s="33"/>
      <c r="J202" s="18" t="s">
        <v>948</v>
      </c>
      <c r="K202" s="118"/>
      <c r="L202" s="12" t="s">
        <v>30</v>
      </c>
      <c r="M202" s="16" t="s">
        <v>949</v>
      </c>
      <c r="N202" s="19">
        <v>8</v>
      </c>
      <c r="O202" s="12">
        <v>0</v>
      </c>
      <c r="P202" s="19">
        <f t="shared" si="9"/>
        <v>8</v>
      </c>
      <c r="Q202" s="19" t="e">
        <f t="shared" si="11"/>
        <v>#VALUE!</v>
      </c>
      <c r="R202" s="15" t="e">
        <f t="shared" si="10"/>
        <v>#VALUE!</v>
      </c>
      <c r="S202" s="9" t="s">
        <v>950</v>
      </c>
    </row>
    <row r="203" spans="1:19" ht="105">
      <c r="A203" s="7">
        <v>202</v>
      </c>
      <c r="B203" s="31" t="s">
        <v>951</v>
      </c>
      <c r="C203" s="32" t="s">
        <v>952</v>
      </c>
      <c r="D203" s="33" t="s">
        <v>30</v>
      </c>
      <c r="E203" s="34">
        <v>8</v>
      </c>
      <c r="F203" s="33" t="s">
        <v>31</v>
      </c>
      <c r="G203" s="32" t="s">
        <v>953</v>
      </c>
      <c r="H203" s="33"/>
      <c r="I203" s="33"/>
      <c r="J203" s="18" t="s">
        <v>954</v>
      </c>
      <c r="K203" s="119"/>
      <c r="L203" s="12" t="s">
        <v>30</v>
      </c>
      <c r="M203" s="9" t="s">
        <v>154</v>
      </c>
      <c r="N203" s="19">
        <v>8</v>
      </c>
      <c r="O203" s="12">
        <v>0</v>
      </c>
      <c r="P203" s="19">
        <f t="shared" si="9"/>
        <v>8</v>
      </c>
      <c r="Q203" s="19" t="e">
        <f t="shared" si="11"/>
        <v>#VALUE!</v>
      </c>
      <c r="R203" s="15" t="e">
        <f t="shared" si="10"/>
        <v>#VALUE!</v>
      </c>
      <c r="S203" s="9" t="s">
        <v>955</v>
      </c>
    </row>
    <row r="204" spans="1:19" ht="180">
      <c r="A204" s="7">
        <v>203</v>
      </c>
      <c r="B204" s="31" t="s">
        <v>956</v>
      </c>
      <c r="C204" s="32" t="s">
        <v>957</v>
      </c>
      <c r="D204" s="33" t="s">
        <v>30</v>
      </c>
      <c r="E204" s="34">
        <v>1</v>
      </c>
      <c r="F204" s="33" t="s">
        <v>31</v>
      </c>
      <c r="G204" s="59" t="s">
        <v>958</v>
      </c>
      <c r="H204" s="33"/>
      <c r="I204" s="33"/>
      <c r="J204" s="18" t="s">
        <v>959</v>
      </c>
      <c r="K204" s="120" t="s">
        <v>960</v>
      </c>
      <c r="L204" s="12" t="s">
        <v>30</v>
      </c>
      <c r="M204" s="16" t="s">
        <v>961</v>
      </c>
      <c r="N204" s="19">
        <v>1</v>
      </c>
      <c r="O204" s="12">
        <v>0</v>
      </c>
      <c r="P204" s="19">
        <f t="shared" si="9"/>
        <v>1</v>
      </c>
      <c r="Q204" s="19" t="e">
        <f t="shared" si="11"/>
        <v>#VALUE!</v>
      </c>
      <c r="R204" s="15" t="e">
        <f t="shared" si="10"/>
        <v>#VALUE!</v>
      </c>
      <c r="S204" s="16" t="s">
        <v>962</v>
      </c>
    </row>
    <row r="205" spans="1:19" ht="135">
      <c r="A205" s="7">
        <v>204</v>
      </c>
      <c r="B205" s="31" t="s">
        <v>963</v>
      </c>
      <c r="C205" s="32" t="s">
        <v>964</v>
      </c>
      <c r="D205" s="33" t="s">
        <v>30</v>
      </c>
      <c r="E205" s="34">
        <v>3</v>
      </c>
      <c r="F205" s="33" t="s">
        <v>31</v>
      </c>
      <c r="G205" s="32" t="s">
        <v>965</v>
      </c>
      <c r="H205" s="33"/>
      <c r="I205" s="33"/>
      <c r="J205" s="18" t="s">
        <v>966</v>
      </c>
      <c r="K205" s="121"/>
      <c r="L205" s="12" t="s">
        <v>30</v>
      </c>
      <c r="M205" s="9" t="s">
        <v>206</v>
      </c>
      <c r="N205" s="19">
        <v>3</v>
      </c>
      <c r="O205" s="12">
        <v>0</v>
      </c>
      <c r="P205" s="19">
        <f t="shared" si="9"/>
        <v>3</v>
      </c>
      <c r="Q205" s="19" t="e">
        <f t="shared" si="11"/>
        <v>#VALUE!</v>
      </c>
      <c r="R205" s="15" t="e">
        <f t="shared" si="10"/>
        <v>#VALUE!</v>
      </c>
      <c r="S205" s="9" t="s">
        <v>967</v>
      </c>
    </row>
    <row r="206" spans="1:19" ht="30">
      <c r="A206" s="7">
        <v>205</v>
      </c>
      <c r="B206" s="31" t="s">
        <v>968</v>
      </c>
      <c r="C206" s="32" t="s">
        <v>969</v>
      </c>
      <c r="D206" s="33" t="s">
        <v>30</v>
      </c>
      <c r="E206" s="34">
        <v>1</v>
      </c>
      <c r="F206" s="33" t="s">
        <v>31</v>
      </c>
      <c r="G206" s="59" t="s">
        <v>893</v>
      </c>
      <c r="H206" s="33"/>
      <c r="I206" s="33"/>
      <c r="J206" s="18"/>
      <c r="K206" s="121"/>
      <c r="L206" s="12" t="s">
        <v>30</v>
      </c>
      <c r="M206" s="16" t="s">
        <v>970</v>
      </c>
      <c r="N206" s="19">
        <v>1</v>
      </c>
      <c r="O206" s="12">
        <v>0</v>
      </c>
      <c r="P206" s="19">
        <f t="shared" si="9"/>
        <v>1</v>
      </c>
      <c r="Q206" s="19" t="e">
        <f t="shared" si="11"/>
        <v>#VALUE!</v>
      </c>
      <c r="R206" s="15" t="e">
        <f t="shared" si="10"/>
        <v>#VALUE!</v>
      </c>
      <c r="S206" s="16" t="s">
        <v>893</v>
      </c>
    </row>
    <row r="207" spans="1:19" ht="120">
      <c r="A207" s="7">
        <v>206</v>
      </c>
      <c r="B207" s="31" t="s">
        <v>971</v>
      </c>
      <c r="C207" s="32" t="s">
        <v>972</v>
      </c>
      <c r="D207" s="33" t="s">
        <v>30</v>
      </c>
      <c r="E207" s="34">
        <v>2</v>
      </c>
      <c r="F207" s="33" t="s">
        <v>31</v>
      </c>
      <c r="G207" s="59" t="s">
        <v>936</v>
      </c>
      <c r="H207" s="32" t="s">
        <v>132</v>
      </c>
      <c r="I207" s="32" t="s">
        <v>133</v>
      </c>
      <c r="J207" s="18" t="s">
        <v>973</v>
      </c>
      <c r="K207" s="121"/>
      <c r="L207" s="12" t="s">
        <v>30</v>
      </c>
      <c r="M207" s="14" t="s">
        <v>936</v>
      </c>
      <c r="N207" s="19">
        <v>2</v>
      </c>
      <c r="O207" s="12">
        <v>0</v>
      </c>
      <c r="P207" s="19">
        <f t="shared" si="9"/>
        <v>2</v>
      </c>
      <c r="Q207" s="19" t="e">
        <f t="shared" si="11"/>
        <v>#VALUE!</v>
      </c>
      <c r="R207" s="15" t="e">
        <f t="shared" si="10"/>
        <v>#VALUE!</v>
      </c>
      <c r="S207" s="9" t="s">
        <v>974</v>
      </c>
    </row>
    <row r="208" spans="1:19" ht="45">
      <c r="A208" s="7">
        <v>207</v>
      </c>
      <c r="B208" s="31" t="s">
        <v>975</v>
      </c>
      <c r="C208" s="37" t="s">
        <v>976</v>
      </c>
      <c r="D208" s="33" t="s">
        <v>30</v>
      </c>
      <c r="E208" s="34">
        <v>1</v>
      </c>
      <c r="F208" s="33" t="s">
        <v>31</v>
      </c>
      <c r="G208" s="59" t="s">
        <v>282</v>
      </c>
      <c r="H208" s="33"/>
      <c r="I208" s="33"/>
      <c r="J208" s="18"/>
      <c r="K208" s="121"/>
      <c r="L208" s="12" t="s">
        <v>30</v>
      </c>
      <c r="M208" s="16" t="s">
        <v>902</v>
      </c>
      <c r="N208" s="19">
        <v>1</v>
      </c>
      <c r="O208" s="12">
        <v>0</v>
      </c>
      <c r="P208" s="19">
        <f t="shared" si="9"/>
        <v>1</v>
      </c>
      <c r="Q208" s="19" t="e">
        <f t="shared" si="11"/>
        <v>#VALUE!</v>
      </c>
      <c r="R208" s="15" t="e">
        <f t="shared" si="10"/>
        <v>#VALUE!</v>
      </c>
      <c r="S208" s="16" t="s">
        <v>282</v>
      </c>
    </row>
    <row r="209" spans="1:19" ht="285">
      <c r="A209" s="7">
        <v>208</v>
      </c>
      <c r="B209" s="31" t="s">
        <v>977</v>
      </c>
      <c r="C209" s="32" t="s">
        <v>978</v>
      </c>
      <c r="D209" s="33" t="s">
        <v>45</v>
      </c>
      <c r="E209" s="34" t="s">
        <v>191</v>
      </c>
      <c r="F209" s="33" t="s">
        <v>31</v>
      </c>
      <c r="G209" s="32" t="s">
        <v>979</v>
      </c>
      <c r="H209" s="33"/>
      <c r="I209" s="33"/>
      <c r="J209" s="18" t="s">
        <v>980</v>
      </c>
      <c r="K209" s="121"/>
      <c r="L209" s="12" t="s">
        <v>45</v>
      </c>
      <c r="M209" s="9" t="s">
        <v>206</v>
      </c>
      <c r="N209" s="19">
        <v>12</v>
      </c>
      <c r="O209" s="12">
        <v>2</v>
      </c>
      <c r="P209" s="19">
        <f t="shared" si="9"/>
        <v>14</v>
      </c>
      <c r="Q209" s="19" t="e">
        <f t="shared" si="11"/>
        <v>#VALUE!</v>
      </c>
      <c r="R209" s="15" t="e">
        <f t="shared" si="10"/>
        <v>#VALUE!</v>
      </c>
      <c r="S209" s="9" t="s">
        <v>981</v>
      </c>
    </row>
    <row r="210" spans="1:19" ht="105">
      <c r="A210" s="7">
        <v>209</v>
      </c>
      <c r="B210" s="31" t="s">
        <v>982</v>
      </c>
      <c r="C210" s="32" t="s">
        <v>983</v>
      </c>
      <c r="D210" s="33" t="s">
        <v>30</v>
      </c>
      <c r="E210" s="34">
        <v>8</v>
      </c>
      <c r="F210" s="33" t="s">
        <v>31</v>
      </c>
      <c r="G210" s="32" t="s">
        <v>984</v>
      </c>
      <c r="H210" s="33"/>
      <c r="I210" s="33"/>
      <c r="J210" s="18" t="s">
        <v>985</v>
      </c>
      <c r="K210" s="121"/>
      <c r="L210" s="12" t="s">
        <v>30</v>
      </c>
      <c r="M210" s="9" t="s">
        <v>986</v>
      </c>
      <c r="N210" s="19">
        <v>8</v>
      </c>
      <c r="O210" s="12">
        <v>0</v>
      </c>
      <c r="P210" s="19">
        <f t="shared" si="9"/>
        <v>8</v>
      </c>
      <c r="Q210" s="19" t="e">
        <f t="shared" si="11"/>
        <v>#VALUE!</v>
      </c>
      <c r="R210" s="15" t="e">
        <f t="shared" si="10"/>
        <v>#VALUE!</v>
      </c>
      <c r="S210" s="9" t="s">
        <v>987</v>
      </c>
    </row>
    <row r="211" spans="1:19" ht="135">
      <c r="A211" s="7">
        <v>210</v>
      </c>
      <c r="B211" s="60" t="s">
        <v>988</v>
      </c>
      <c r="C211" s="61" t="s">
        <v>989</v>
      </c>
      <c r="D211" s="62" t="s">
        <v>30</v>
      </c>
      <c r="E211" s="62">
        <v>8</v>
      </c>
      <c r="F211" s="62" t="s">
        <v>31</v>
      </c>
      <c r="G211" s="61" t="s">
        <v>990</v>
      </c>
      <c r="H211" s="62"/>
      <c r="I211" s="62"/>
      <c r="J211" s="18" t="s">
        <v>991</v>
      </c>
      <c r="K211" s="122"/>
      <c r="L211" s="12" t="s">
        <v>30</v>
      </c>
      <c r="M211" s="9" t="s">
        <v>986</v>
      </c>
      <c r="N211" s="19">
        <v>8</v>
      </c>
      <c r="O211" s="12">
        <v>0</v>
      </c>
      <c r="P211" s="19">
        <f t="shared" si="9"/>
        <v>8</v>
      </c>
      <c r="Q211" s="19" t="e">
        <f t="shared" si="11"/>
        <v>#VALUE!</v>
      </c>
      <c r="R211" s="15" t="e">
        <f t="shared" si="10"/>
        <v>#VALUE!</v>
      </c>
      <c r="S211" s="9" t="s">
        <v>992</v>
      </c>
    </row>
    <row r="212" spans="1:19" ht="240">
      <c r="A212" s="7">
        <v>211</v>
      </c>
      <c r="B212" s="8" t="s">
        <v>993</v>
      </c>
      <c r="C212" s="9" t="s">
        <v>994</v>
      </c>
      <c r="D212" s="10" t="s">
        <v>45</v>
      </c>
      <c r="E212" s="17" t="s">
        <v>995</v>
      </c>
      <c r="F212" s="10" t="s">
        <v>31</v>
      </c>
      <c r="G212" s="9" t="s">
        <v>996</v>
      </c>
      <c r="H212" s="10"/>
      <c r="I212" s="10"/>
      <c r="J212" s="18" t="s">
        <v>997</v>
      </c>
      <c r="K212" s="51" t="s">
        <v>503</v>
      </c>
      <c r="L212" s="12" t="s">
        <v>45</v>
      </c>
      <c r="M212" s="9" t="s">
        <v>206</v>
      </c>
      <c r="N212" s="19" t="s">
        <v>998</v>
      </c>
      <c r="O212" s="12">
        <v>8</v>
      </c>
      <c r="P212" s="19" t="s">
        <v>999</v>
      </c>
      <c r="Q212" s="19" t="e">
        <f t="shared" si="11"/>
        <v>#VALUE!</v>
      </c>
      <c r="R212" s="15" t="e">
        <f t="shared" si="10"/>
        <v>#VALUE!</v>
      </c>
      <c r="S212" s="9" t="s">
        <v>1000</v>
      </c>
    </row>
    <row r="213" spans="1:19" ht="180">
      <c r="A213" s="7">
        <v>212</v>
      </c>
      <c r="B213" s="8" t="s">
        <v>1001</v>
      </c>
      <c r="C213" s="9" t="s">
        <v>1002</v>
      </c>
      <c r="D213" s="10" t="s">
        <v>45</v>
      </c>
      <c r="E213" s="17" t="s">
        <v>995</v>
      </c>
      <c r="F213" s="10" t="s">
        <v>31</v>
      </c>
      <c r="G213" s="9" t="s">
        <v>1003</v>
      </c>
      <c r="H213" s="10"/>
      <c r="I213" s="10"/>
      <c r="J213" s="18" t="s">
        <v>1004</v>
      </c>
      <c r="K213" s="123" t="s">
        <v>521</v>
      </c>
      <c r="L213" s="12" t="s">
        <v>45</v>
      </c>
      <c r="M213" s="9" t="s">
        <v>221</v>
      </c>
      <c r="N213" s="19" t="s">
        <v>998</v>
      </c>
      <c r="O213" s="12">
        <v>8</v>
      </c>
      <c r="P213" s="19" t="s">
        <v>999</v>
      </c>
      <c r="Q213" s="19" t="e">
        <f t="shared" si="11"/>
        <v>#VALUE!</v>
      </c>
      <c r="R213" s="15" t="e">
        <f t="shared" si="10"/>
        <v>#VALUE!</v>
      </c>
      <c r="S213" s="16" t="s">
        <v>1005</v>
      </c>
    </row>
    <row r="214" spans="1:19" ht="180">
      <c r="A214" s="7">
        <v>213</v>
      </c>
      <c r="B214" s="8" t="s">
        <v>1006</v>
      </c>
      <c r="C214" s="9" t="s">
        <v>1007</v>
      </c>
      <c r="D214" s="10" t="s">
        <v>30</v>
      </c>
      <c r="E214" s="10">
        <v>1</v>
      </c>
      <c r="F214" s="10" t="s">
        <v>31</v>
      </c>
      <c r="G214" s="9" t="s">
        <v>1008</v>
      </c>
      <c r="H214" s="10"/>
      <c r="I214" s="10"/>
      <c r="J214" s="18" t="s">
        <v>1009</v>
      </c>
      <c r="K214" s="123"/>
      <c r="L214" s="12" t="s">
        <v>30</v>
      </c>
      <c r="M214" s="9" t="s">
        <v>1010</v>
      </c>
      <c r="N214" s="19" t="s">
        <v>34</v>
      </c>
      <c r="O214" s="12">
        <v>0</v>
      </c>
      <c r="P214" s="19" t="s">
        <v>34</v>
      </c>
      <c r="Q214" s="19" t="e">
        <f t="shared" si="11"/>
        <v>#VALUE!</v>
      </c>
      <c r="R214" s="15" t="e">
        <f t="shared" si="10"/>
        <v>#VALUE!</v>
      </c>
      <c r="S214" s="36" t="s">
        <v>1011</v>
      </c>
    </row>
    <row r="215" spans="1:19" ht="105">
      <c r="A215" s="7">
        <v>214</v>
      </c>
      <c r="B215" s="8" t="s">
        <v>1012</v>
      </c>
      <c r="C215" s="9" t="s">
        <v>1013</v>
      </c>
      <c r="D215" s="10" t="s">
        <v>45</v>
      </c>
      <c r="E215" s="10">
        <v>2</v>
      </c>
      <c r="F215" s="10" t="s">
        <v>31</v>
      </c>
      <c r="G215" s="9" t="s">
        <v>1014</v>
      </c>
      <c r="H215" s="9" t="s">
        <v>1015</v>
      </c>
      <c r="I215" s="9" t="s">
        <v>1016</v>
      </c>
      <c r="J215" s="18" t="s">
        <v>1017</v>
      </c>
      <c r="K215" s="123"/>
      <c r="L215" s="12" t="s">
        <v>45</v>
      </c>
      <c r="M215" s="9" t="s">
        <v>640</v>
      </c>
      <c r="N215" s="19" t="s">
        <v>140</v>
      </c>
      <c r="O215" s="12">
        <v>0</v>
      </c>
      <c r="P215" s="19" t="s">
        <v>140</v>
      </c>
      <c r="Q215" s="19" t="e">
        <f t="shared" si="11"/>
        <v>#VALUE!</v>
      </c>
      <c r="R215" s="15" t="e">
        <f t="shared" si="10"/>
        <v>#VALUE!</v>
      </c>
      <c r="S215" s="9" t="s">
        <v>1018</v>
      </c>
    </row>
    <row r="216" spans="1:19" ht="105">
      <c r="A216" s="7">
        <v>215</v>
      </c>
      <c r="B216" s="8" t="s">
        <v>1019</v>
      </c>
      <c r="C216" s="9" t="s">
        <v>1020</v>
      </c>
      <c r="D216" s="10" t="s">
        <v>45</v>
      </c>
      <c r="E216" s="10">
        <v>8</v>
      </c>
      <c r="F216" s="10" t="s">
        <v>31</v>
      </c>
      <c r="G216" s="9" t="s">
        <v>1021</v>
      </c>
      <c r="H216" s="10"/>
      <c r="I216" s="10"/>
      <c r="J216" s="18" t="s">
        <v>1022</v>
      </c>
      <c r="K216" s="123"/>
      <c r="L216" s="12" t="s">
        <v>45</v>
      </c>
      <c r="M216" s="9" t="s">
        <v>1023</v>
      </c>
      <c r="N216" s="19" t="s">
        <v>1024</v>
      </c>
      <c r="O216" s="12">
        <v>0</v>
      </c>
      <c r="P216" s="19" t="s">
        <v>1024</v>
      </c>
      <c r="Q216" s="19" t="e">
        <f t="shared" si="11"/>
        <v>#VALUE!</v>
      </c>
      <c r="R216" s="15" t="e">
        <f t="shared" si="10"/>
        <v>#VALUE!</v>
      </c>
      <c r="S216" s="9" t="s">
        <v>1025</v>
      </c>
    </row>
    <row r="217" spans="1:19" ht="165">
      <c r="A217" s="7">
        <v>216</v>
      </c>
      <c r="B217" s="8" t="s">
        <v>1026</v>
      </c>
      <c r="C217" s="9" t="s">
        <v>1027</v>
      </c>
      <c r="D217" s="10" t="s">
        <v>45</v>
      </c>
      <c r="E217" s="17" t="s">
        <v>995</v>
      </c>
      <c r="F217" s="10" t="s">
        <v>31</v>
      </c>
      <c r="G217" s="9" t="s">
        <v>1028</v>
      </c>
      <c r="H217" s="10"/>
      <c r="I217" s="10"/>
      <c r="J217" s="11" t="s">
        <v>1029</v>
      </c>
      <c r="K217" s="124" t="s">
        <v>1030</v>
      </c>
      <c r="L217" s="12" t="s">
        <v>45</v>
      </c>
      <c r="M217" s="9" t="s">
        <v>221</v>
      </c>
      <c r="N217" s="19" t="s">
        <v>998</v>
      </c>
      <c r="O217" s="12">
        <v>8</v>
      </c>
      <c r="P217" s="19" t="s">
        <v>999</v>
      </c>
      <c r="Q217" s="19" t="e">
        <f t="shared" si="11"/>
        <v>#VALUE!</v>
      </c>
      <c r="R217" s="15" t="e">
        <f t="shared" si="10"/>
        <v>#VALUE!</v>
      </c>
      <c r="S217" s="9" t="s">
        <v>1031</v>
      </c>
    </row>
    <row r="218" spans="1:19" ht="165">
      <c r="A218" s="7">
        <v>217</v>
      </c>
      <c r="B218" s="8" t="s">
        <v>1032</v>
      </c>
      <c r="C218" s="9" t="s">
        <v>1033</v>
      </c>
      <c r="D218" s="10" t="s">
        <v>45</v>
      </c>
      <c r="E218" s="17" t="s">
        <v>1034</v>
      </c>
      <c r="F218" s="10" t="s">
        <v>31</v>
      </c>
      <c r="G218" s="9" t="s">
        <v>1035</v>
      </c>
      <c r="H218" s="10"/>
      <c r="I218" s="10"/>
      <c r="J218" s="18" t="s">
        <v>1036</v>
      </c>
      <c r="K218" s="124"/>
      <c r="L218" s="12" t="s">
        <v>45</v>
      </c>
      <c r="M218" s="9" t="s">
        <v>640</v>
      </c>
      <c r="N218" s="19" t="s">
        <v>1037</v>
      </c>
      <c r="O218" s="12">
        <v>2</v>
      </c>
      <c r="P218" s="19" t="s">
        <v>1038</v>
      </c>
      <c r="Q218" s="19" t="e">
        <f t="shared" si="11"/>
        <v>#VALUE!</v>
      </c>
      <c r="R218" s="15" t="e">
        <f t="shared" si="10"/>
        <v>#VALUE!</v>
      </c>
      <c r="S218" s="9" t="s">
        <v>1039</v>
      </c>
    </row>
    <row r="219" spans="1:19" ht="150">
      <c r="A219" s="7">
        <v>218</v>
      </c>
      <c r="B219" s="8" t="s">
        <v>1040</v>
      </c>
      <c r="C219" s="9" t="s">
        <v>1041</v>
      </c>
      <c r="D219" s="10" t="s">
        <v>30</v>
      </c>
      <c r="E219" s="10">
        <v>1</v>
      </c>
      <c r="F219" s="10" t="s">
        <v>31</v>
      </c>
      <c r="G219" s="9" t="s">
        <v>1042</v>
      </c>
      <c r="H219" s="10"/>
      <c r="I219" s="10"/>
      <c r="J219" s="18" t="s">
        <v>1009</v>
      </c>
      <c r="K219" s="124"/>
      <c r="L219" s="12" t="s">
        <v>30</v>
      </c>
      <c r="M219" s="9" t="s">
        <v>1043</v>
      </c>
      <c r="N219" s="19" t="s">
        <v>34</v>
      </c>
      <c r="O219" s="12">
        <v>0</v>
      </c>
      <c r="P219" s="19" t="s">
        <v>34</v>
      </c>
      <c r="Q219" s="19" t="e">
        <f t="shared" si="11"/>
        <v>#VALUE!</v>
      </c>
      <c r="R219" s="15" t="e">
        <f t="shared" si="10"/>
        <v>#VALUE!</v>
      </c>
      <c r="S219" s="36" t="s">
        <v>1011</v>
      </c>
    </row>
    <row r="220" spans="1:19" ht="105">
      <c r="A220" s="7">
        <v>219</v>
      </c>
      <c r="B220" s="8" t="s">
        <v>1044</v>
      </c>
      <c r="C220" s="9" t="s">
        <v>1045</v>
      </c>
      <c r="D220" s="10" t="s">
        <v>45</v>
      </c>
      <c r="E220" s="10">
        <v>2</v>
      </c>
      <c r="F220" s="10" t="s">
        <v>31</v>
      </c>
      <c r="G220" s="9" t="s">
        <v>1046</v>
      </c>
      <c r="H220" s="9" t="s">
        <v>1015</v>
      </c>
      <c r="I220" s="9" t="s">
        <v>1016</v>
      </c>
      <c r="J220" s="18" t="s">
        <v>1017</v>
      </c>
      <c r="K220" s="124"/>
      <c r="L220" s="12" t="s">
        <v>45</v>
      </c>
      <c r="M220" s="9" t="s">
        <v>206</v>
      </c>
      <c r="N220" s="19" t="s">
        <v>140</v>
      </c>
      <c r="O220" s="12">
        <v>0</v>
      </c>
      <c r="P220" s="19" t="s">
        <v>140</v>
      </c>
      <c r="Q220" s="19" t="e">
        <f t="shared" si="11"/>
        <v>#VALUE!</v>
      </c>
      <c r="R220" s="15" t="e">
        <f t="shared" si="10"/>
        <v>#VALUE!</v>
      </c>
      <c r="S220" s="9" t="s">
        <v>1047</v>
      </c>
    </row>
    <row r="221" spans="1:19" ht="120">
      <c r="A221" s="7">
        <v>220</v>
      </c>
      <c r="B221" s="8" t="s">
        <v>1048</v>
      </c>
      <c r="C221" s="9" t="s">
        <v>1049</v>
      </c>
      <c r="D221" s="10" t="s">
        <v>45</v>
      </c>
      <c r="E221" s="10">
        <v>8</v>
      </c>
      <c r="F221" s="10" t="s">
        <v>31</v>
      </c>
      <c r="G221" s="9" t="s">
        <v>1050</v>
      </c>
      <c r="H221" s="10"/>
      <c r="I221" s="10"/>
      <c r="J221" s="18" t="s">
        <v>1051</v>
      </c>
      <c r="K221" s="124"/>
      <c r="L221" s="12" t="s">
        <v>45</v>
      </c>
      <c r="M221" s="9" t="s">
        <v>1023</v>
      </c>
      <c r="N221" s="19" t="s">
        <v>1024</v>
      </c>
      <c r="O221" s="12">
        <v>0</v>
      </c>
      <c r="P221" s="19" t="s">
        <v>1024</v>
      </c>
      <c r="Q221" s="19" t="e">
        <f t="shared" si="11"/>
        <v>#VALUE!</v>
      </c>
      <c r="R221" s="15" t="e">
        <f t="shared" si="10"/>
        <v>#VALUE!</v>
      </c>
      <c r="S221" s="9" t="s">
        <v>1052</v>
      </c>
    </row>
    <row r="222" spans="1:19" ht="150">
      <c r="A222" s="7">
        <v>221</v>
      </c>
      <c r="B222" s="8" t="s">
        <v>1053</v>
      </c>
      <c r="C222" s="9" t="s">
        <v>1054</v>
      </c>
      <c r="D222" s="10" t="s">
        <v>30</v>
      </c>
      <c r="E222" s="10">
        <v>1</v>
      </c>
      <c r="F222" s="10" t="s">
        <v>31</v>
      </c>
      <c r="G222" s="9" t="s">
        <v>1055</v>
      </c>
      <c r="H222" s="10"/>
      <c r="I222" s="10"/>
      <c r="J222" s="18" t="s">
        <v>1056</v>
      </c>
      <c r="K222" s="108" t="s">
        <v>503</v>
      </c>
      <c r="L222" s="12" t="s">
        <v>30</v>
      </c>
      <c r="M222" s="9" t="s">
        <v>1057</v>
      </c>
      <c r="N222" s="19" t="s">
        <v>34</v>
      </c>
      <c r="O222" s="12">
        <v>0</v>
      </c>
      <c r="P222" s="19" t="s">
        <v>34</v>
      </c>
      <c r="Q222" s="19" t="e">
        <f t="shared" si="11"/>
        <v>#VALUE!</v>
      </c>
      <c r="R222" s="15" t="e">
        <f t="shared" si="10"/>
        <v>#VALUE!</v>
      </c>
      <c r="S222" s="36" t="s">
        <v>1058</v>
      </c>
    </row>
    <row r="223" spans="1:19" ht="105">
      <c r="A223" s="7">
        <v>222</v>
      </c>
      <c r="B223" s="8" t="s">
        <v>1059</v>
      </c>
      <c r="C223" s="9" t="s">
        <v>1013</v>
      </c>
      <c r="D223" s="10" t="s">
        <v>45</v>
      </c>
      <c r="E223" s="10">
        <v>2</v>
      </c>
      <c r="F223" s="10" t="s">
        <v>31</v>
      </c>
      <c r="G223" s="9" t="s">
        <v>1060</v>
      </c>
      <c r="H223" s="9" t="s">
        <v>1015</v>
      </c>
      <c r="I223" s="9" t="s">
        <v>1016</v>
      </c>
      <c r="J223" s="18" t="s">
        <v>1017</v>
      </c>
      <c r="K223" s="108"/>
      <c r="L223" s="12" t="s">
        <v>45</v>
      </c>
      <c r="M223" s="9" t="s">
        <v>640</v>
      </c>
      <c r="N223" s="19" t="s">
        <v>140</v>
      </c>
      <c r="O223" s="12">
        <v>0</v>
      </c>
      <c r="P223" s="19" t="s">
        <v>140</v>
      </c>
      <c r="Q223" s="19" t="e">
        <f t="shared" si="11"/>
        <v>#VALUE!</v>
      </c>
      <c r="R223" s="15" t="e">
        <f t="shared" si="10"/>
        <v>#VALUE!</v>
      </c>
      <c r="S223" s="9" t="s">
        <v>1061</v>
      </c>
    </row>
    <row r="224" spans="1:19" ht="105">
      <c r="A224" s="7">
        <v>223</v>
      </c>
      <c r="B224" s="8" t="s">
        <v>1062</v>
      </c>
      <c r="C224" s="9" t="s">
        <v>1063</v>
      </c>
      <c r="D224" s="10" t="s">
        <v>45</v>
      </c>
      <c r="E224" s="10">
        <v>8</v>
      </c>
      <c r="F224" s="10" t="s">
        <v>31</v>
      </c>
      <c r="G224" s="9" t="s">
        <v>1064</v>
      </c>
      <c r="H224" s="10"/>
      <c r="I224" s="10"/>
      <c r="J224" s="18" t="s">
        <v>1065</v>
      </c>
      <c r="K224" s="108"/>
      <c r="L224" s="12" t="s">
        <v>45</v>
      </c>
      <c r="M224" s="9" t="s">
        <v>1023</v>
      </c>
      <c r="N224" s="19" t="s">
        <v>1024</v>
      </c>
      <c r="O224" s="12">
        <v>0</v>
      </c>
      <c r="P224" s="19" t="s">
        <v>1024</v>
      </c>
      <c r="Q224" s="19" t="e">
        <f t="shared" si="11"/>
        <v>#VALUE!</v>
      </c>
      <c r="R224" s="15" t="e">
        <f t="shared" si="10"/>
        <v>#VALUE!</v>
      </c>
      <c r="S224" s="9" t="s">
        <v>1066</v>
      </c>
    </row>
    <row r="225" spans="1:19" ht="195">
      <c r="A225" s="7">
        <v>224</v>
      </c>
      <c r="B225" s="8" t="s">
        <v>1067</v>
      </c>
      <c r="C225" s="9" t="s">
        <v>1068</v>
      </c>
      <c r="D225" s="10" t="s">
        <v>30</v>
      </c>
      <c r="E225" s="10">
        <v>1</v>
      </c>
      <c r="F225" s="10" t="s">
        <v>31</v>
      </c>
      <c r="G225" s="9" t="s">
        <v>1069</v>
      </c>
      <c r="H225" s="10"/>
      <c r="I225" s="10"/>
      <c r="J225" s="18" t="s">
        <v>1070</v>
      </c>
      <c r="K225" s="109" t="s">
        <v>536</v>
      </c>
      <c r="L225" s="12" t="s">
        <v>30</v>
      </c>
      <c r="M225" s="9" t="s">
        <v>1057</v>
      </c>
      <c r="N225" s="19" t="s">
        <v>34</v>
      </c>
      <c r="O225" s="12">
        <v>0</v>
      </c>
      <c r="P225" s="19" t="s">
        <v>34</v>
      </c>
      <c r="Q225" s="19" t="e">
        <f t="shared" si="11"/>
        <v>#VALUE!</v>
      </c>
      <c r="R225" s="15" t="e">
        <f t="shared" si="10"/>
        <v>#VALUE!</v>
      </c>
      <c r="S225" s="36" t="s">
        <v>1071</v>
      </c>
    </row>
    <row r="226" spans="1:19" ht="210">
      <c r="A226" s="7">
        <v>225</v>
      </c>
      <c r="B226" s="8" t="s">
        <v>1072</v>
      </c>
      <c r="C226" s="9" t="s">
        <v>1073</v>
      </c>
      <c r="D226" s="10" t="s">
        <v>45</v>
      </c>
      <c r="E226" s="10">
        <v>2</v>
      </c>
      <c r="F226" s="10" t="s">
        <v>31</v>
      </c>
      <c r="G226" s="9" t="s">
        <v>1046</v>
      </c>
      <c r="H226" s="9" t="s">
        <v>1015</v>
      </c>
      <c r="I226" s="9" t="s">
        <v>1016</v>
      </c>
      <c r="J226" s="18" t="s">
        <v>1074</v>
      </c>
      <c r="K226" s="109"/>
      <c r="L226" s="12" t="s">
        <v>45</v>
      </c>
      <c r="M226" s="9" t="s">
        <v>640</v>
      </c>
      <c r="N226" s="19" t="s">
        <v>140</v>
      </c>
      <c r="O226" s="12">
        <v>0</v>
      </c>
      <c r="P226" s="19" t="s">
        <v>140</v>
      </c>
      <c r="Q226" s="19" t="e">
        <f t="shared" si="11"/>
        <v>#VALUE!</v>
      </c>
      <c r="R226" s="15" t="e">
        <f t="shared" si="10"/>
        <v>#VALUE!</v>
      </c>
      <c r="S226" s="9" t="s">
        <v>1075</v>
      </c>
    </row>
    <row r="227" spans="1:19" ht="195">
      <c r="A227" s="7">
        <v>226</v>
      </c>
      <c r="B227" s="8" t="s">
        <v>1076</v>
      </c>
      <c r="C227" s="9" t="s">
        <v>1077</v>
      </c>
      <c r="D227" s="10" t="s">
        <v>45</v>
      </c>
      <c r="E227" s="10">
        <v>8</v>
      </c>
      <c r="F227" s="10" t="s">
        <v>31</v>
      </c>
      <c r="G227" s="9" t="s">
        <v>1050</v>
      </c>
      <c r="H227" s="10"/>
      <c r="I227" s="10"/>
      <c r="J227" s="18" t="s">
        <v>1078</v>
      </c>
      <c r="K227" s="109"/>
      <c r="L227" s="12" t="s">
        <v>45</v>
      </c>
      <c r="M227" s="9" t="s">
        <v>1023</v>
      </c>
      <c r="N227" s="19" t="s">
        <v>1024</v>
      </c>
      <c r="O227" s="12">
        <v>0</v>
      </c>
      <c r="P227" s="19" t="s">
        <v>1024</v>
      </c>
      <c r="Q227" s="19" t="e">
        <f t="shared" si="11"/>
        <v>#VALUE!</v>
      </c>
      <c r="R227" s="15" t="e">
        <f t="shared" si="10"/>
        <v>#VALUE!</v>
      </c>
      <c r="S227" s="9" t="s">
        <v>1079</v>
      </c>
    </row>
    <row r="228" spans="1:19" ht="285">
      <c r="A228" s="7">
        <v>227</v>
      </c>
      <c r="B228" s="8" t="s">
        <v>1080</v>
      </c>
      <c r="C228" s="9" t="s">
        <v>1081</v>
      </c>
      <c r="D228" s="10" t="s">
        <v>45</v>
      </c>
      <c r="E228" s="10">
        <v>2</v>
      </c>
      <c r="F228" s="10" t="s">
        <v>31</v>
      </c>
      <c r="G228" s="9" t="s">
        <v>1082</v>
      </c>
      <c r="H228" s="9" t="s">
        <v>1083</v>
      </c>
      <c r="I228" s="9" t="s">
        <v>1084</v>
      </c>
      <c r="J228" s="11"/>
      <c r="K228" s="110" t="s">
        <v>1085</v>
      </c>
      <c r="L228" s="12" t="s">
        <v>45</v>
      </c>
      <c r="M228" s="9" t="s">
        <v>1086</v>
      </c>
      <c r="N228" s="19" t="s">
        <v>140</v>
      </c>
      <c r="O228" s="12">
        <v>0</v>
      </c>
      <c r="P228" s="19" t="s">
        <v>140</v>
      </c>
      <c r="Q228" s="19" t="e">
        <f t="shared" si="11"/>
        <v>#VALUE!</v>
      </c>
      <c r="R228" s="15" t="e">
        <f t="shared" si="10"/>
        <v>#VALUE!</v>
      </c>
      <c r="S228" s="36" t="s">
        <v>1087</v>
      </c>
    </row>
    <row r="229" spans="1:19" ht="135">
      <c r="A229" s="7">
        <v>228</v>
      </c>
      <c r="B229" s="8" t="s">
        <v>1088</v>
      </c>
      <c r="C229" s="9" t="s">
        <v>1089</v>
      </c>
      <c r="D229" s="10" t="s">
        <v>45</v>
      </c>
      <c r="E229" s="17" t="s">
        <v>1090</v>
      </c>
      <c r="F229" s="10" t="s">
        <v>31</v>
      </c>
      <c r="G229" s="9" t="s">
        <v>1091</v>
      </c>
      <c r="H229" s="10"/>
      <c r="I229" s="10"/>
      <c r="J229" s="11" t="s">
        <v>1092</v>
      </c>
      <c r="K229" s="111"/>
      <c r="L229" s="12" t="s">
        <v>45</v>
      </c>
      <c r="M229" s="9" t="s">
        <v>640</v>
      </c>
      <c r="N229" s="19" t="s">
        <v>1093</v>
      </c>
      <c r="O229" s="12">
        <v>2</v>
      </c>
      <c r="P229" s="19" t="s">
        <v>1094</v>
      </c>
      <c r="Q229" s="19" t="e">
        <f t="shared" si="11"/>
        <v>#VALUE!</v>
      </c>
      <c r="R229" s="15" t="e">
        <f t="shared" si="10"/>
        <v>#VALUE!</v>
      </c>
      <c r="S229" s="9" t="s">
        <v>1095</v>
      </c>
    </row>
    <row r="230" spans="1:19" ht="150">
      <c r="A230" s="7">
        <v>229</v>
      </c>
      <c r="B230" s="8" t="s">
        <v>1096</v>
      </c>
      <c r="C230" s="9" t="s">
        <v>1097</v>
      </c>
      <c r="D230" s="10" t="s">
        <v>45</v>
      </c>
      <c r="E230" s="17" t="s">
        <v>995</v>
      </c>
      <c r="F230" s="10" t="s">
        <v>31</v>
      </c>
      <c r="G230" s="9" t="s">
        <v>1098</v>
      </c>
      <c r="H230" s="10"/>
      <c r="I230" s="10"/>
      <c r="J230" s="11" t="s">
        <v>1099</v>
      </c>
      <c r="K230" s="111"/>
      <c r="L230" s="12" t="s">
        <v>45</v>
      </c>
      <c r="M230" s="9" t="s">
        <v>640</v>
      </c>
      <c r="N230" s="19" t="s">
        <v>998</v>
      </c>
      <c r="O230" s="12">
        <v>8</v>
      </c>
      <c r="P230" s="19" t="s">
        <v>999</v>
      </c>
      <c r="Q230" s="19" t="e">
        <f t="shared" si="11"/>
        <v>#VALUE!</v>
      </c>
      <c r="R230" s="15" t="e">
        <f t="shared" si="10"/>
        <v>#VALUE!</v>
      </c>
      <c r="S230" s="9" t="s">
        <v>1100</v>
      </c>
    </row>
    <row r="231" spans="1:19" ht="150">
      <c r="A231" s="7">
        <v>230</v>
      </c>
      <c r="B231" s="8" t="s">
        <v>1101</v>
      </c>
      <c r="C231" s="9" t="s">
        <v>1102</v>
      </c>
      <c r="D231" s="10" t="s">
        <v>45</v>
      </c>
      <c r="E231" s="10">
        <v>8</v>
      </c>
      <c r="F231" s="10" t="s">
        <v>31</v>
      </c>
      <c r="G231" s="9" t="s">
        <v>1103</v>
      </c>
      <c r="H231" s="10"/>
      <c r="I231" s="10"/>
      <c r="J231" s="63" t="s">
        <v>1104</v>
      </c>
      <c r="K231" s="111"/>
      <c r="L231" s="12" t="s">
        <v>45</v>
      </c>
      <c r="M231" s="9" t="s">
        <v>640</v>
      </c>
      <c r="N231" s="19" t="s">
        <v>1024</v>
      </c>
      <c r="O231" s="12">
        <v>0</v>
      </c>
      <c r="P231" s="19" t="s">
        <v>1024</v>
      </c>
      <c r="Q231" s="19" t="e">
        <f t="shared" si="11"/>
        <v>#VALUE!</v>
      </c>
      <c r="R231" s="15" t="e">
        <f t="shared" si="10"/>
        <v>#VALUE!</v>
      </c>
      <c r="S231" s="9" t="s">
        <v>1105</v>
      </c>
    </row>
    <row r="232" spans="1:19" ht="105">
      <c r="A232" s="7">
        <v>231</v>
      </c>
      <c r="B232" s="60" t="s">
        <v>1106</v>
      </c>
      <c r="C232" s="61" t="s">
        <v>1107</v>
      </c>
      <c r="D232" s="64" t="s">
        <v>45</v>
      </c>
      <c r="E232" s="65" t="s">
        <v>191</v>
      </c>
      <c r="F232" s="62" t="s">
        <v>31</v>
      </c>
      <c r="G232" s="61" t="s">
        <v>1108</v>
      </c>
      <c r="H232" s="66"/>
      <c r="I232" s="66"/>
      <c r="J232" s="11" t="s">
        <v>1109</v>
      </c>
      <c r="K232" s="112"/>
      <c r="L232" s="12" t="s">
        <v>45</v>
      </c>
      <c r="M232" s="9" t="s">
        <v>1110</v>
      </c>
      <c r="N232" s="19" t="s">
        <v>1111</v>
      </c>
      <c r="O232" s="12">
        <v>2</v>
      </c>
      <c r="P232" s="19" t="s">
        <v>33</v>
      </c>
      <c r="Q232" s="19" t="e">
        <f t="shared" si="11"/>
        <v>#VALUE!</v>
      </c>
      <c r="R232" s="15" t="e">
        <f t="shared" si="10"/>
        <v>#VALUE!</v>
      </c>
      <c r="S232" s="9" t="s">
        <v>1112</v>
      </c>
    </row>
    <row r="233" spans="1:19" ht="255">
      <c r="A233" s="7">
        <v>232</v>
      </c>
      <c r="B233" s="8" t="s">
        <v>1113</v>
      </c>
      <c r="C233" s="9" t="s">
        <v>1114</v>
      </c>
      <c r="D233" s="10" t="s">
        <v>45</v>
      </c>
      <c r="E233" s="10">
        <v>1</v>
      </c>
      <c r="F233" s="10" t="s">
        <v>31</v>
      </c>
      <c r="G233" s="9" t="s">
        <v>1115</v>
      </c>
      <c r="H233" s="10"/>
      <c r="I233" s="10"/>
      <c r="J233" s="18" t="s">
        <v>1116</v>
      </c>
      <c r="K233" s="113" t="s">
        <v>1117</v>
      </c>
      <c r="L233" s="12" t="s">
        <v>45</v>
      </c>
      <c r="M233" s="9" t="s">
        <v>640</v>
      </c>
      <c r="N233" s="19" t="s">
        <v>34</v>
      </c>
      <c r="O233" s="12">
        <v>0</v>
      </c>
      <c r="P233" s="19" t="s">
        <v>34</v>
      </c>
      <c r="Q233" s="19" t="e">
        <f t="shared" si="11"/>
        <v>#VALUE!</v>
      </c>
      <c r="R233" s="15" t="e">
        <f t="shared" si="10"/>
        <v>#VALUE!</v>
      </c>
      <c r="S233" s="9" t="s">
        <v>1118</v>
      </c>
    </row>
    <row r="234" spans="1:19" ht="60">
      <c r="A234" s="7">
        <v>233</v>
      </c>
      <c r="B234" s="8" t="s">
        <v>1119</v>
      </c>
      <c r="C234" s="9" t="s">
        <v>1120</v>
      </c>
      <c r="D234" s="10" t="s">
        <v>45</v>
      </c>
      <c r="E234" s="10">
        <v>11</v>
      </c>
      <c r="F234" s="10" t="s">
        <v>31</v>
      </c>
      <c r="G234" s="9" t="s">
        <v>1121</v>
      </c>
      <c r="H234" s="10"/>
      <c r="I234" s="10"/>
      <c r="J234" s="11"/>
      <c r="K234" s="113"/>
      <c r="L234" s="12" t="s">
        <v>45</v>
      </c>
      <c r="M234" s="9" t="s">
        <v>640</v>
      </c>
      <c r="N234" s="19" t="s">
        <v>999</v>
      </c>
      <c r="O234" s="12">
        <v>0</v>
      </c>
      <c r="P234" s="19" t="s">
        <v>999</v>
      </c>
      <c r="Q234" s="19" t="e">
        <f t="shared" si="11"/>
        <v>#VALUE!</v>
      </c>
      <c r="R234" s="15" t="e">
        <f t="shared" si="10"/>
        <v>#VALUE!</v>
      </c>
      <c r="S234" s="16" t="s">
        <v>48</v>
      </c>
    </row>
    <row r="235" spans="1:19" ht="135">
      <c r="A235" s="7">
        <v>234</v>
      </c>
      <c r="B235" s="8" t="s">
        <v>1122</v>
      </c>
      <c r="C235" s="9" t="s">
        <v>1123</v>
      </c>
      <c r="D235" s="10" t="s">
        <v>30</v>
      </c>
      <c r="E235" s="17">
        <v>1</v>
      </c>
      <c r="F235" s="10" t="s">
        <v>31</v>
      </c>
      <c r="G235" s="9" t="s">
        <v>1124</v>
      </c>
      <c r="H235" s="9" t="s">
        <v>39</v>
      </c>
      <c r="I235" s="9" t="s">
        <v>40</v>
      </c>
      <c r="J235" s="11"/>
      <c r="K235" s="113"/>
      <c r="L235" s="12" t="s">
        <v>30</v>
      </c>
      <c r="M235" s="9" t="s">
        <v>1125</v>
      </c>
      <c r="N235" s="19">
        <v>1</v>
      </c>
      <c r="O235" s="12">
        <v>0</v>
      </c>
      <c r="P235" s="19">
        <f>+N235+O235</f>
        <v>1</v>
      </c>
      <c r="Q235" s="19" t="e">
        <f t="shared" si="11"/>
        <v>#VALUE!</v>
      </c>
      <c r="R235" s="15" t="e">
        <f t="shared" si="10"/>
        <v>#VALUE!</v>
      </c>
      <c r="S235" s="9" t="s">
        <v>1126</v>
      </c>
    </row>
    <row r="236" spans="1:19" ht="90">
      <c r="A236" s="7">
        <v>235</v>
      </c>
      <c r="B236" s="8" t="s">
        <v>1127</v>
      </c>
      <c r="C236" s="9" t="s">
        <v>1128</v>
      </c>
      <c r="D236" s="10" t="s">
        <v>30</v>
      </c>
      <c r="E236" s="17">
        <v>35</v>
      </c>
      <c r="F236" s="10" t="s">
        <v>31</v>
      </c>
      <c r="G236" s="9" t="s">
        <v>1129</v>
      </c>
      <c r="H236" s="10"/>
      <c r="I236" s="10"/>
      <c r="J236" s="11" t="s">
        <v>1130</v>
      </c>
      <c r="K236" s="113"/>
      <c r="L236" s="12" t="s">
        <v>30</v>
      </c>
      <c r="M236" s="9" t="s">
        <v>1131</v>
      </c>
      <c r="N236" s="19">
        <v>35</v>
      </c>
      <c r="O236" s="12">
        <v>0</v>
      </c>
      <c r="P236" s="19">
        <f>+N236+O236</f>
        <v>35</v>
      </c>
      <c r="Q236" s="19" t="e">
        <f t="shared" si="11"/>
        <v>#VALUE!</v>
      </c>
      <c r="R236" s="15" t="e">
        <f t="shared" si="10"/>
        <v>#VALUE!</v>
      </c>
      <c r="S236" s="9" t="s">
        <v>54</v>
      </c>
    </row>
    <row r="237" spans="1:19" ht="120">
      <c r="A237" s="7">
        <v>236</v>
      </c>
      <c r="B237" s="8" t="s">
        <v>1132</v>
      </c>
      <c r="C237" s="21" t="s">
        <v>1133</v>
      </c>
      <c r="D237" s="10" t="s">
        <v>30</v>
      </c>
      <c r="E237" s="17">
        <v>20</v>
      </c>
      <c r="F237" s="10" t="s">
        <v>31</v>
      </c>
      <c r="G237" s="21" t="s">
        <v>1134</v>
      </c>
      <c r="H237" s="10"/>
      <c r="I237" s="10"/>
      <c r="J237" s="18" t="s">
        <v>1130</v>
      </c>
      <c r="K237" s="113"/>
      <c r="L237" s="12" t="s">
        <v>30</v>
      </c>
      <c r="M237" s="9" t="s">
        <v>1131</v>
      </c>
      <c r="N237" s="19">
        <v>20</v>
      </c>
      <c r="O237" s="12">
        <v>0</v>
      </c>
      <c r="P237" s="19">
        <f>+N237+O237</f>
        <v>20</v>
      </c>
      <c r="Q237" s="19" t="e">
        <f t="shared" si="11"/>
        <v>#VALUE!</v>
      </c>
      <c r="R237" s="15" t="e">
        <f t="shared" si="10"/>
        <v>#VALUE!</v>
      </c>
      <c r="S237" s="9" t="s">
        <v>1135</v>
      </c>
    </row>
    <row r="238" spans="1:19" ht="120">
      <c r="A238" s="7">
        <v>237</v>
      </c>
      <c r="B238" s="60" t="s">
        <v>1136</v>
      </c>
      <c r="C238" s="61" t="s">
        <v>1137</v>
      </c>
      <c r="D238" s="62" t="s">
        <v>45</v>
      </c>
      <c r="E238" s="62" t="s">
        <v>191</v>
      </c>
      <c r="F238" s="62" t="s">
        <v>31</v>
      </c>
      <c r="G238" s="61" t="s">
        <v>1138</v>
      </c>
      <c r="H238" s="62"/>
      <c r="I238" s="62"/>
      <c r="J238" s="18"/>
      <c r="K238" s="113"/>
      <c r="L238" s="12" t="s">
        <v>45</v>
      </c>
      <c r="M238" s="9"/>
      <c r="N238" s="19">
        <v>12</v>
      </c>
      <c r="O238" s="12">
        <v>2</v>
      </c>
      <c r="P238" s="19">
        <f t="shared" ref="P238" si="12">+N238+O238</f>
        <v>14</v>
      </c>
      <c r="Q238" s="19" t="e">
        <f t="shared" si="11"/>
        <v>#VALUE!</v>
      </c>
      <c r="R238" s="15" t="e">
        <f t="shared" si="10"/>
        <v>#VALUE!</v>
      </c>
      <c r="S238" s="9" t="s">
        <v>529</v>
      </c>
    </row>
    <row r="239" spans="1:19" ht="120">
      <c r="A239" s="7">
        <v>238</v>
      </c>
      <c r="B239" s="60" t="s">
        <v>1139</v>
      </c>
      <c r="C239" s="61" t="s">
        <v>1140</v>
      </c>
      <c r="D239" s="62" t="s">
        <v>45</v>
      </c>
      <c r="E239" s="62" t="s">
        <v>995</v>
      </c>
      <c r="F239" s="62" t="s">
        <v>31</v>
      </c>
      <c r="G239" s="61" t="s">
        <v>1141</v>
      </c>
      <c r="H239" s="62"/>
      <c r="I239" s="62"/>
      <c r="J239" s="63" t="s">
        <v>1142</v>
      </c>
      <c r="K239" s="113"/>
      <c r="L239" s="12" t="s">
        <v>45</v>
      </c>
      <c r="M239" s="9" t="s">
        <v>221</v>
      </c>
      <c r="N239" s="19" t="s">
        <v>998</v>
      </c>
      <c r="O239" s="12">
        <v>8</v>
      </c>
      <c r="P239" s="19" t="s">
        <v>999</v>
      </c>
      <c r="Q239" s="19" t="e">
        <f t="shared" si="11"/>
        <v>#VALUE!</v>
      </c>
      <c r="R239" s="15" t="e">
        <f t="shared" si="10"/>
        <v>#VALUE!</v>
      </c>
      <c r="S239" s="16" t="s">
        <v>1005</v>
      </c>
    </row>
    <row r="240" spans="1:19" ht="90">
      <c r="A240" s="7">
        <v>239</v>
      </c>
      <c r="B240" s="60" t="s">
        <v>1143</v>
      </c>
      <c r="C240" s="61" t="s">
        <v>1144</v>
      </c>
      <c r="D240" s="62" t="s">
        <v>45</v>
      </c>
      <c r="E240" s="62" t="s">
        <v>995</v>
      </c>
      <c r="F240" s="62" t="s">
        <v>31</v>
      </c>
      <c r="G240" s="61" t="s">
        <v>1145</v>
      </c>
      <c r="H240" s="66"/>
      <c r="I240" s="66"/>
      <c r="J240" s="11"/>
      <c r="K240" s="113"/>
      <c r="L240" s="12" t="s">
        <v>45</v>
      </c>
      <c r="M240" s="9" t="s">
        <v>206</v>
      </c>
      <c r="N240" s="19" t="s">
        <v>998</v>
      </c>
      <c r="O240" s="12">
        <v>8</v>
      </c>
      <c r="P240" s="19" t="s">
        <v>999</v>
      </c>
      <c r="Q240" s="19" t="e">
        <f t="shared" si="11"/>
        <v>#VALUE!</v>
      </c>
      <c r="R240" s="15" t="e">
        <f t="shared" si="10"/>
        <v>#VALUE!</v>
      </c>
      <c r="S240" s="20" t="s">
        <v>1146</v>
      </c>
    </row>
    <row r="241" spans="1:19" ht="120">
      <c r="A241" s="7">
        <v>240</v>
      </c>
      <c r="B241" s="8" t="s">
        <v>1147</v>
      </c>
      <c r="C241" s="9" t="s">
        <v>1148</v>
      </c>
      <c r="D241" s="10" t="s">
        <v>30</v>
      </c>
      <c r="E241" s="10">
        <v>1</v>
      </c>
      <c r="F241" s="10" t="s">
        <v>31</v>
      </c>
      <c r="G241" s="9" t="s">
        <v>1149</v>
      </c>
      <c r="H241" s="10"/>
      <c r="I241" s="10"/>
      <c r="J241" s="11"/>
      <c r="K241" s="113"/>
      <c r="L241" s="12" t="s">
        <v>30</v>
      </c>
      <c r="M241" s="9" t="s">
        <v>1150</v>
      </c>
      <c r="N241" s="19" t="s">
        <v>34</v>
      </c>
      <c r="O241" s="12">
        <v>0</v>
      </c>
      <c r="P241" s="19" t="s">
        <v>34</v>
      </c>
      <c r="Q241" s="19" t="e">
        <f t="shared" si="11"/>
        <v>#VALUE!</v>
      </c>
      <c r="R241" s="15" t="e">
        <f t="shared" si="10"/>
        <v>#VALUE!</v>
      </c>
      <c r="S241" s="36" t="s">
        <v>1151</v>
      </c>
    </row>
    <row r="242" spans="1:19" ht="105">
      <c r="A242" s="7">
        <v>241</v>
      </c>
      <c r="B242" s="8" t="s">
        <v>1152</v>
      </c>
      <c r="C242" s="9" t="s">
        <v>1153</v>
      </c>
      <c r="D242" s="10" t="s">
        <v>45</v>
      </c>
      <c r="E242" s="10">
        <v>2</v>
      </c>
      <c r="F242" s="10" t="s">
        <v>31</v>
      </c>
      <c r="G242" s="9" t="s">
        <v>1154</v>
      </c>
      <c r="H242" s="9" t="s">
        <v>1015</v>
      </c>
      <c r="I242" s="9" t="s">
        <v>1016</v>
      </c>
      <c r="J242" s="11" t="s">
        <v>1017</v>
      </c>
      <c r="K242" s="113"/>
      <c r="L242" s="12" t="s">
        <v>45</v>
      </c>
      <c r="M242" s="9" t="s">
        <v>206</v>
      </c>
      <c r="N242" s="19" t="s">
        <v>140</v>
      </c>
      <c r="O242" s="12">
        <v>0</v>
      </c>
      <c r="P242" s="19" t="s">
        <v>140</v>
      </c>
      <c r="Q242" s="19" t="e">
        <f t="shared" si="11"/>
        <v>#VALUE!</v>
      </c>
      <c r="R242" s="15" t="e">
        <f t="shared" si="10"/>
        <v>#VALUE!</v>
      </c>
      <c r="S242" s="9" t="s">
        <v>1155</v>
      </c>
    </row>
    <row r="243" spans="1:19" ht="105">
      <c r="A243" s="7">
        <v>242</v>
      </c>
      <c r="B243" s="8" t="s">
        <v>1156</v>
      </c>
      <c r="C243" s="9" t="s">
        <v>1157</v>
      </c>
      <c r="D243" s="10" t="s">
        <v>45</v>
      </c>
      <c r="E243" s="10">
        <v>8</v>
      </c>
      <c r="F243" s="10" t="s">
        <v>31</v>
      </c>
      <c r="G243" s="9" t="s">
        <v>1158</v>
      </c>
      <c r="H243" s="10"/>
      <c r="I243" s="10"/>
      <c r="J243" s="11" t="s">
        <v>1159</v>
      </c>
      <c r="K243" s="113"/>
      <c r="L243" s="12" t="s">
        <v>45</v>
      </c>
      <c r="M243" s="9" t="s">
        <v>1160</v>
      </c>
      <c r="N243" s="19" t="s">
        <v>1024</v>
      </c>
      <c r="O243" s="12">
        <v>0</v>
      </c>
      <c r="P243" s="19" t="s">
        <v>1024</v>
      </c>
      <c r="Q243" s="19" t="e">
        <f t="shared" si="11"/>
        <v>#VALUE!</v>
      </c>
      <c r="R243" s="15" t="e">
        <f t="shared" si="10"/>
        <v>#VALUE!</v>
      </c>
      <c r="S243" s="9" t="s">
        <v>1161</v>
      </c>
    </row>
    <row r="244" spans="1:19" ht="105">
      <c r="A244" s="7">
        <v>243</v>
      </c>
      <c r="B244" s="8" t="s">
        <v>1162</v>
      </c>
      <c r="C244" s="9" t="s">
        <v>1163</v>
      </c>
      <c r="D244" s="10" t="s">
        <v>30</v>
      </c>
      <c r="E244" s="17">
        <v>4</v>
      </c>
      <c r="F244" s="10" t="s">
        <v>31</v>
      </c>
      <c r="G244" s="9" t="s">
        <v>1164</v>
      </c>
      <c r="H244" s="10"/>
      <c r="I244" s="10"/>
      <c r="J244" s="11"/>
      <c r="K244" s="113"/>
      <c r="L244" s="12" t="s">
        <v>30</v>
      </c>
      <c r="M244" s="9" t="s">
        <v>154</v>
      </c>
      <c r="N244" s="19">
        <v>4</v>
      </c>
      <c r="O244" s="12">
        <v>0</v>
      </c>
      <c r="P244" s="19">
        <f>+N244+O244</f>
        <v>4</v>
      </c>
      <c r="Q244" s="19" t="e">
        <f t="shared" si="11"/>
        <v>#VALUE!</v>
      </c>
      <c r="R244" s="15" t="e">
        <f t="shared" si="10"/>
        <v>#VALUE!</v>
      </c>
      <c r="S244" s="9" t="s">
        <v>1165</v>
      </c>
    </row>
    <row r="245" spans="1:19" ht="105">
      <c r="A245" s="7">
        <v>244</v>
      </c>
      <c r="B245" s="8" t="s">
        <v>1166</v>
      </c>
      <c r="C245" s="9" t="s">
        <v>1167</v>
      </c>
      <c r="D245" s="10" t="s">
        <v>30</v>
      </c>
      <c r="E245" s="17">
        <v>35</v>
      </c>
      <c r="F245" s="10" t="s">
        <v>31</v>
      </c>
      <c r="G245" s="9" t="s">
        <v>1168</v>
      </c>
      <c r="H245" s="10"/>
      <c r="I245" s="10"/>
      <c r="J245" s="11" t="s">
        <v>1130</v>
      </c>
      <c r="K245" s="113"/>
      <c r="L245" s="12" t="s">
        <v>30</v>
      </c>
      <c r="M245" s="9" t="s">
        <v>1169</v>
      </c>
      <c r="N245" s="19">
        <v>35</v>
      </c>
      <c r="O245" s="12">
        <v>0</v>
      </c>
      <c r="P245" s="19">
        <f>+N245+O245</f>
        <v>35</v>
      </c>
      <c r="Q245" s="19" t="e">
        <f t="shared" si="11"/>
        <v>#VALUE!</v>
      </c>
      <c r="R245" s="15" t="e">
        <f t="shared" si="10"/>
        <v>#VALUE!</v>
      </c>
      <c r="S245" s="9" t="s">
        <v>1170</v>
      </c>
    </row>
    <row r="246" spans="1:19" ht="60">
      <c r="A246" s="7">
        <v>245</v>
      </c>
      <c r="B246" s="8" t="s">
        <v>1171</v>
      </c>
      <c r="C246" s="9" t="s">
        <v>1172</v>
      </c>
      <c r="D246" s="10" t="s">
        <v>30</v>
      </c>
      <c r="E246" s="17">
        <v>15</v>
      </c>
      <c r="F246" s="10" t="s">
        <v>31</v>
      </c>
      <c r="G246" s="9" t="s">
        <v>281</v>
      </c>
      <c r="H246" s="10"/>
      <c r="I246" s="10"/>
      <c r="J246" s="63"/>
      <c r="K246" s="113"/>
      <c r="L246" s="12" t="s">
        <v>30</v>
      </c>
      <c r="M246" s="9" t="s">
        <v>1169</v>
      </c>
      <c r="N246" s="19">
        <v>15</v>
      </c>
      <c r="O246" s="12">
        <v>0</v>
      </c>
      <c r="P246" s="19">
        <f>+N246+O246</f>
        <v>15</v>
      </c>
      <c r="Q246" s="19" t="e">
        <f t="shared" si="11"/>
        <v>#VALUE!</v>
      </c>
      <c r="R246" s="15" t="e">
        <f t="shared" si="10"/>
        <v>#VALUE!</v>
      </c>
      <c r="S246" s="16" t="s">
        <v>48</v>
      </c>
    </row>
    <row r="247" spans="1:19" ht="75">
      <c r="A247" s="7">
        <v>246</v>
      </c>
      <c r="B247" s="60" t="s">
        <v>1173</v>
      </c>
      <c r="C247" s="68" t="s">
        <v>1174</v>
      </c>
      <c r="D247" s="62" t="s">
        <v>30</v>
      </c>
      <c r="E247" s="65">
        <v>30</v>
      </c>
      <c r="F247" s="62" t="s">
        <v>31</v>
      </c>
      <c r="G247" s="61" t="s">
        <v>1175</v>
      </c>
      <c r="H247" s="66"/>
      <c r="I247" s="66"/>
      <c r="J247" s="63" t="s">
        <v>775</v>
      </c>
      <c r="K247" s="113"/>
      <c r="L247" s="12" t="s">
        <v>30</v>
      </c>
      <c r="M247" s="9"/>
      <c r="N247" s="19">
        <v>30</v>
      </c>
      <c r="O247" s="12">
        <v>0</v>
      </c>
      <c r="P247" s="19">
        <f t="shared" ref="P247:P248" si="13">+N247+O247</f>
        <v>30</v>
      </c>
      <c r="Q247" s="19" t="e">
        <f t="shared" si="11"/>
        <v>#VALUE!</v>
      </c>
      <c r="R247" s="15" t="e">
        <f t="shared" si="10"/>
        <v>#VALUE!</v>
      </c>
      <c r="S247" s="9" t="s">
        <v>54</v>
      </c>
    </row>
    <row r="248" spans="1:19" ht="60">
      <c r="A248" s="7">
        <v>247</v>
      </c>
      <c r="B248" s="60" t="s">
        <v>1176</v>
      </c>
      <c r="C248" s="68" t="s">
        <v>1177</v>
      </c>
      <c r="D248" s="62" t="s">
        <v>30</v>
      </c>
      <c r="E248" s="65">
        <v>8</v>
      </c>
      <c r="F248" s="62" t="s">
        <v>31</v>
      </c>
      <c r="G248" s="61" t="s">
        <v>1178</v>
      </c>
      <c r="H248" s="66"/>
      <c r="I248" s="66"/>
      <c r="J248" s="11"/>
      <c r="K248" s="113"/>
      <c r="L248" s="12" t="s">
        <v>30</v>
      </c>
      <c r="M248" s="9"/>
      <c r="N248" s="19">
        <v>8</v>
      </c>
      <c r="O248" s="12">
        <v>0</v>
      </c>
      <c r="P248" s="19">
        <f t="shared" si="13"/>
        <v>8</v>
      </c>
      <c r="Q248" s="19" t="e">
        <f t="shared" si="11"/>
        <v>#VALUE!</v>
      </c>
      <c r="R248" s="15" t="e">
        <f t="shared" si="10"/>
        <v>#VALUE!</v>
      </c>
      <c r="S248" s="9" t="s">
        <v>354</v>
      </c>
    </row>
    <row r="249" spans="1:19" ht="60">
      <c r="A249" s="7">
        <v>248</v>
      </c>
      <c r="B249" s="8" t="s">
        <v>1179</v>
      </c>
      <c r="C249" s="9" t="s">
        <v>1180</v>
      </c>
      <c r="D249" s="10" t="s">
        <v>45</v>
      </c>
      <c r="E249" s="10">
        <v>11</v>
      </c>
      <c r="F249" s="10" t="s">
        <v>31</v>
      </c>
      <c r="G249" s="9" t="s">
        <v>1121</v>
      </c>
      <c r="H249" s="10"/>
      <c r="I249" s="10"/>
      <c r="J249" s="11"/>
      <c r="K249" s="113"/>
      <c r="L249" s="12" t="s">
        <v>45</v>
      </c>
      <c r="M249" s="9" t="s">
        <v>640</v>
      </c>
      <c r="N249" s="19" t="s">
        <v>999</v>
      </c>
      <c r="O249" s="12">
        <v>0</v>
      </c>
      <c r="P249" s="19" t="s">
        <v>999</v>
      </c>
      <c r="Q249" s="19" t="e">
        <f t="shared" si="11"/>
        <v>#VALUE!</v>
      </c>
      <c r="R249" s="15" t="e">
        <f t="shared" si="10"/>
        <v>#VALUE!</v>
      </c>
      <c r="S249" s="16" t="s">
        <v>48</v>
      </c>
    </row>
    <row r="250" spans="1:19" ht="135">
      <c r="A250" s="7">
        <v>249</v>
      </c>
      <c r="B250" s="8" t="s">
        <v>1181</v>
      </c>
      <c r="C250" s="9" t="s">
        <v>1182</v>
      </c>
      <c r="D250" s="10" t="s">
        <v>30</v>
      </c>
      <c r="E250" s="17">
        <v>1</v>
      </c>
      <c r="F250" s="10" t="s">
        <v>31</v>
      </c>
      <c r="G250" s="9" t="s">
        <v>1183</v>
      </c>
      <c r="H250" s="9" t="s">
        <v>39</v>
      </c>
      <c r="I250" s="9" t="s">
        <v>40</v>
      </c>
      <c r="J250" s="11"/>
      <c r="K250" s="113"/>
      <c r="L250" s="12" t="s">
        <v>30</v>
      </c>
      <c r="M250" s="9" t="s">
        <v>1125</v>
      </c>
      <c r="N250" s="19">
        <v>1</v>
      </c>
      <c r="O250" s="12">
        <v>0</v>
      </c>
      <c r="P250" s="19">
        <f>+N250+O250</f>
        <v>1</v>
      </c>
      <c r="Q250" s="19" t="e">
        <f t="shared" si="11"/>
        <v>#VALUE!</v>
      </c>
      <c r="R250" s="15" t="e">
        <f t="shared" si="10"/>
        <v>#VALUE!</v>
      </c>
      <c r="S250" s="9" t="s">
        <v>1126</v>
      </c>
    </row>
    <row r="251" spans="1:19" ht="90">
      <c r="A251" s="7">
        <v>250</v>
      </c>
      <c r="B251" s="8" t="s">
        <v>1184</v>
      </c>
      <c r="C251" s="9" t="s">
        <v>1185</v>
      </c>
      <c r="D251" s="10" t="s">
        <v>30</v>
      </c>
      <c r="E251" s="17">
        <v>35</v>
      </c>
      <c r="F251" s="10" t="s">
        <v>31</v>
      </c>
      <c r="G251" s="9" t="s">
        <v>1129</v>
      </c>
      <c r="H251" s="10"/>
      <c r="I251" s="10"/>
      <c r="J251" s="11" t="s">
        <v>1130</v>
      </c>
      <c r="K251" s="113"/>
      <c r="L251" s="12" t="s">
        <v>30</v>
      </c>
      <c r="M251" s="9" t="s">
        <v>1131</v>
      </c>
      <c r="N251" s="19">
        <v>35</v>
      </c>
      <c r="O251" s="12">
        <v>0</v>
      </c>
      <c r="P251" s="19">
        <f>+N251+O251</f>
        <v>35</v>
      </c>
      <c r="Q251" s="19" t="e">
        <f t="shared" si="11"/>
        <v>#VALUE!</v>
      </c>
      <c r="R251" s="15" t="e">
        <f t="shared" si="10"/>
        <v>#VALUE!</v>
      </c>
      <c r="S251" s="9" t="s">
        <v>54</v>
      </c>
    </row>
    <row r="252" spans="1:19" ht="75">
      <c r="A252" s="7">
        <v>251</v>
      </c>
      <c r="B252" s="8" t="s">
        <v>1186</v>
      </c>
      <c r="C252" s="21" t="s">
        <v>1187</v>
      </c>
      <c r="D252" s="10" t="s">
        <v>30</v>
      </c>
      <c r="E252" s="17">
        <v>20</v>
      </c>
      <c r="F252" s="10" t="s">
        <v>31</v>
      </c>
      <c r="G252" s="21" t="s">
        <v>54</v>
      </c>
      <c r="H252" s="10"/>
      <c r="I252" s="10"/>
      <c r="J252" s="18" t="s">
        <v>1130</v>
      </c>
      <c r="K252" s="113"/>
      <c r="L252" s="12" t="s">
        <v>30</v>
      </c>
      <c r="M252" s="9" t="s">
        <v>1131</v>
      </c>
      <c r="N252" s="19">
        <v>20</v>
      </c>
      <c r="O252" s="12">
        <v>0</v>
      </c>
      <c r="P252" s="19">
        <f>+N252+O252</f>
        <v>20</v>
      </c>
      <c r="Q252" s="19" t="e">
        <f t="shared" si="11"/>
        <v>#VALUE!</v>
      </c>
      <c r="R252" s="15" t="e">
        <f t="shared" si="10"/>
        <v>#VALUE!</v>
      </c>
      <c r="S252" s="9" t="s">
        <v>1135</v>
      </c>
    </row>
    <row r="253" spans="1:19" ht="120">
      <c r="A253" s="7">
        <v>252</v>
      </c>
      <c r="B253" s="60" t="s">
        <v>1188</v>
      </c>
      <c r="C253" s="61" t="s">
        <v>1189</v>
      </c>
      <c r="D253" s="62" t="s">
        <v>45</v>
      </c>
      <c r="E253" s="62" t="s">
        <v>191</v>
      </c>
      <c r="F253" s="62" t="s">
        <v>31</v>
      </c>
      <c r="G253" s="61" t="s">
        <v>1190</v>
      </c>
      <c r="H253" s="62"/>
      <c r="I253" s="62"/>
      <c r="J253" s="18"/>
      <c r="K253" s="113"/>
      <c r="L253" s="12" t="s">
        <v>45</v>
      </c>
      <c r="M253" s="9"/>
      <c r="N253" s="19">
        <v>12</v>
      </c>
      <c r="O253" s="12">
        <v>2</v>
      </c>
      <c r="P253" s="19">
        <f t="shared" ref="P253" si="14">+N253+O253</f>
        <v>14</v>
      </c>
      <c r="Q253" s="19" t="e">
        <f t="shared" si="11"/>
        <v>#VALUE!</v>
      </c>
      <c r="R253" s="15" t="e">
        <f t="shared" si="10"/>
        <v>#VALUE!</v>
      </c>
      <c r="S253" s="9" t="s">
        <v>529</v>
      </c>
    </row>
    <row r="254" spans="1:19" ht="120">
      <c r="A254" s="7">
        <v>253</v>
      </c>
      <c r="B254" s="60" t="s">
        <v>1191</v>
      </c>
      <c r="C254" s="61" t="s">
        <v>1192</v>
      </c>
      <c r="D254" s="62" t="s">
        <v>45</v>
      </c>
      <c r="E254" s="62" t="s">
        <v>995</v>
      </c>
      <c r="F254" s="62" t="s">
        <v>31</v>
      </c>
      <c r="G254" s="61" t="s">
        <v>1193</v>
      </c>
      <c r="H254" s="62"/>
      <c r="I254" s="62"/>
      <c r="J254" s="63" t="s">
        <v>1194</v>
      </c>
      <c r="K254" s="113"/>
      <c r="L254" s="12" t="s">
        <v>45</v>
      </c>
      <c r="M254" s="9" t="s">
        <v>221</v>
      </c>
      <c r="N254" s="19" t="s">
        <v>998</v>
      </c>
      <c r="O254" s="12">
        <v>8</v>
      </c>
      <c r="P254" s="19" t="s">
        <v>999</v>
      </c>
      <c r="Q254" s="19" t="e">
        <f t="shared" si="11"/>
        <v>#VALUE!</v>
      </c>
      <c r="R254" s="15" t="e">
        <f t="shared" si="10"/>
        <v>#VALUE!</v>
      </c>
      <c r="S254" s="16" t="s">
        <v>1005</v>
      </c>
    </row>
    <row r="255" spans="1:19" ht="90">
      <c r="A255" s="7">
        <v>254</v>
      </c>
      <c r="B255" s="60" t="s">
        <v>1195</v>
      </c>
      <c r="C255" s="61" t="s">
        <v>1196</v>
      </c>
      <c r="D255" s="62" t="s">
        <v>45</v>
      </c>
      <c r="E255" s="62" t="s">
        <v>995</v>
      </c>
      <c r="F255" s="62" t="s">
        <v>31</v>
      </c>
      <c r="G255" s="61" t="s">
        <v>1197</v>
      </c>
      <c r="H255" s="66"/>
      <c r="I255" s="66"/>
      <c r="J255" s="11"/>
      <c r="K255" s="113"/>
      <c r="L255" s="12" t="s">
        <v>45</v>
      </c>
      <c r="M255" s="9" t="s">
        <v>206</v>
      </c>
      <c r="N255" s="19" t="s">
        <v>998</v>
      </c>
      <c r="O255" s="12">
        <v>8</v>
      </c>
      <c r="P255" s="19" t="s">
        <v>999</v>
      </c>
      <c r="Q255" s="19" t="e">
        <f t="shared" si="11"/>
        <v>#VALUE!</v>
      </c>
      <c r="R255" s="15" t="e">
        <f t="shared" si="10"/>
        <v>#VALUE!</v>
      </c>
      <c r="S255" s="20" t="s">
        <v>1146</v>
      </c>
    </row>
    <row r="256" spans="1:19" ht="120">
      <c r="A256" s="7">
        <v>255</v>
      </c>
      <c r="B256" s="8" t="s">
        <v>1198</v>
      </c>
      <c r="C256" s="9" t="s">
        <v>1199</v>
      </c>
      <c r="D256" s="10" t="s">
        <v>30</v>
      </c>
      <c r="E256" s="10">
        <v>1</v>
      </c>
      <c r="F256" s="10" t="s">
        <v>31</v>
      </c>
      <c r="G256" s="9" t="s">
        <v>1149</v>
      </c>
      <c r="H256" s="10"/>
      <c r="I256" s="10"/>
      <c r="J256" s="11"/>
      <c r="K256" s="113"/>
      <c r="L256" s="12" t="s">
        <v>30</v>
      </c>
      <c r="M256" s="9" t="s">
        <v>1150</v>
      </c>
      <c r="N256" s="19" t="s">
        <v>34</v>
      </c>
      <c r="O256" s="12">
        <v>0</v>
      </c>
      <c r="P256" s="19" t="s">
        <v>34</v>
      </c>
      <c r="Q256" s="19" t="e">
        <f t="shared" si="11"/>
        <v>#VALUE!</v>
      </c>
      <c r="R256" s="15" t="e">
        <f t="shared" si="10"/>
        <v>#VALUE!</v>
      </c>
      <c r="S256" s="36" t="s">
        <v>1151</v>
      </c>
    </row>
    <row r="257" spans="1:19" ht="105">
      <c r="A257" s="7">
        <v>256</v>
      </c>
      <c r="B257" s="8" t="s">
        <v>1200</v>
      </c>
      <c r="C257" s="9" t="s">
        <v>1201</v>
      </c>
      <c r="D257" s="10" t="s">
        <v>45</v>
      </c>
      <c r="E257" s="10">
        <v>2</v>
      </c>
      <c r="F257" s="10" t="s">
        <v>31</v>
      </c>
      <c r="G257" s="9" t="s">
        <v>1202</v>
      </c>
      <c r="H257" s="9" t="s">
        <v>1015</v>
      </c>
      <c r="I257" s="9" t="s">
        <v>1016</v>
      </c>
      <c r="J257" s="11" t="s">
        <v>1017</v>
      </c>
      <c r="K257" s="113"/>
      <c r="L257" s="12" t="s">
        <v>45</v>
      </c>
      <c r="M257" s="9" t="s">
        <v>206</v>
      </c>
      <c r="N257" s="19" t="s">
        <v>140</v>
      </c>
      <c r="O257" s="12">
        <v>0</v>
      </c>
      <c r="P257" s="19" t="s">
        <v>140</v>
      </c>
      <c r="Q257" s="19" t="e">
        <f t="shared" si="11"/>
        <v>#VALUE!</v>
      </c>
      <c r="R257" s="15" t="e">
        <f t="shared" si="10"/>
        <v>#VALUE!</v>
      </c>
      <c r="S257" s="9" t="s">
        <v>1155</v>
      </c>
    </row>
    <row r="258" spans="1:19" ht="105">
      <c r="A258" s="7">
        <v>257</v>
      </c>
      <c r="B258" s="8" t="s">
        <v>1203</v>
      </c>
      <c r="C258" s="9" t="s">
        <v>1204</v>
      </c>
      <c r="D258" s="10" t="s">
        <v>45</v>
      </c>
      <c r="E258" s="10">
        <v>8</v>
      </c>
      <c r="F258" s="10" t="s">
        <v>31</v>
      </c>
      <c r="G258" s="9" t="s">
        <v>1205</v>
      </c>
      <c r="H258" s="10"/>
      <c r="I258" s="10"/>
      <c r="J258" s="11" t="s">
        <v>1206</v>
      </c>
      <c r="K258" s="113"/>
      <c r="L258" s="12" t="s">
        <v>45</v>
      </c>
      <c r="M258" s="9" t="s">
        <v>1160</v>
      </c>
      <c r="N258" s="19" t="s">
        <v>1024</v>
      </c>
      <c r="O258" s="12">
        <v>0</v>
      </c>
      <c r="P258" s="19" t="s">
        <v>1024</v>
      </c>
      <c r="Q258" s="19" t="e">
        <f t="shared" si="11"/>
        <v>#VALUE!</v>
      </c>
      <c r="R258" s="15" t="e">
        <f t="shared" si="10"/>
        <v>#VALUE!</v>
      </c>
      <c r="S258" s="9" t="s">
        <v>1161</v>
      </c>
    </row>
    <row r="259" spans="1:19" ht="90">
      <c r="A259" s="7">
        <v>258</v>
      </c>
      <c r="B259" s="8" t="s">
        <v>1207</v>
      </c>
      <c r="C259" s="9" t="s">
        <v>1208</v>
      </c>
      <c r="D259" s="10" t="s">
        <v>30</v>
      </c>
      <c r="E259" s="17">
        <v>4</v>
      </c>
      <c r="F259" s="10" t="s">
        <v>31</v>
      </c>
      <c r="G259" s="9" t="s">
        <v>1164</v>
      </c>
      <c r="H259" s="10"/>
      <c r="I259" s="10"/>
      <c r="J259" s="11"/>
      <c r="K259" s="113"/>
      <c r="L259" s="12" t="s">
        <v>30</v>
      </c>
      <c r="M259" s="9" t="s">
        <v>154</v>
      </c>
      <c r="N259" s="19">
        <v>4</v>
      </c>
      <c r="O259" s="12">
        <v>0</v>
      </c>
      <c r="P259" s="19">
        <f>+N259+O259</f>
        <v>4</v>
      </c>
      <c r="Q259" s="19" t="e">
        <f t="shared" si="11"/>
        <v>#VALUE!</v>
      </c>
      <c r="R259" s="15" t="e">
        <f t="shared" ref="R259:R295" si="15">Q259+P259-1</f>
        <v>#VALUE!</v>
      </c>
      <c r="S259" s="9" t="s">
        <v>1165</v>
      </c>
    </row>
    <row r="260" spans="1:19" ht="105">
      <c r="A260" s="7">
        <v>259</v>
      </c>
      <c r="B260" s="8" t="s">
        <v>1209</v>
      </c>
      <c r="C260" s="9" t="s">
        <v>1210</v>
      </c>
      <c r="D260" s="10" t="s">
        <v>30</v>
      </c>
      <c r="E260" s="17">
        <v>35</v>
      </c>
      <c r="F260" s="10" t="s">
        <v>31</v>
      </c>
      <c r="G260" s="9" t="s">
        <v>1168</v>
      </c>
      <c r="H260" s="10"/>
      <c r="I260" s="10"/>
      <c r="J260" s="11" t="s">
        <v>1130</v>
      </c>
      <c r="K260" s="113"/>
      <c r="L260" s="12" t="s">
        <v>30</v>
      </c>
      <c r="M260" s="9" t="s">
        <v>1169</v>
      </c>
      <c r="N260" s="19">
        <v>35</v>
      </c>
      <c r="O260" s="12">
        <v>0</v>
      </c>
      <c r="P260" s="19">
        <f>+N260+O260</f>
        <v>35</v>
      </c>
      <c r="Q260" s="19" t="e">
        <f t="shared" ref="Q260:Q295" si="16">R259+1</f>
        <v>#VALUE!</v>
      </c>
      <c r="R260" s="15" t="e">
        <f t="shared" si="15"/>
        <v>#VALUE!</v>
      </c>
      <c r="S260" s="9" t="s">
        <v>1170</v>
      </c>
    </row>
    <row r="261" spans="1:19" ht="60">
      <c r="A261" s="7">
        <v>260</v>
      </c>
      <c r="B261" s="8" t="s">
        <v>1211</v>
      </c>
      <c r="C261" s="9" t="s">
        <v>1212</v>
      </c>
      <c r="D261" s="10" t="s">
        <v>30</v>
      </c>
      <c r="E261" s="17">
        <v>15</v>
      </c>
      <c r="F261" s="10" t="s">
        <v>31</v>
      </c>
      <c r="G261" s="9" t="s">
        <v>281</v>
      </c>
      <c r="H261" s="10"/>
      <c r="I261" s="10"/>
      <c r="J261" s="63"/>
      <c r="K261" s="113"/>
      <c r="L261" s="12" t="s">
        <v>30</v>
      </c>
      <c r="M261" s="9" t="s">
        <v>1169</v>
      </c>
      <c r="N261" s="19">
        <v>15</v>
      </c>
      <c r="O261" s="12">
        <v>0</v>
      </c>
      <c r="P261" s="19">
        <f>+N261+O261</f>
        <v>15</v>
      </c>
      <c r="Q261" s="19" t="e">
        <f t="shared" si="16"/>
        <v>#VALUE!</v>
      </c>
      <c r="R261" s="15" t="e">
        <f t="shared" si="15"/>
        <v>#VALUE!</v>
      </c>
      <c r="S261" s="16" t="s">
        <v>48</v>
      </c>
    </row>
    <row r="262" spans="1:19" ht="75">
      <c r="A262" s="7">
        <v>261</v>
      </c>
      <c r="B262" s="60" t="s">
        <v>1213</v>
      </c>
      <c r="C262" s="68" t="s">
        <v>1214</v>
      </c>
      <c r="D262" s="62" t="s">
        <v>30</v>
      </c>
      <c r="E262" s="64">
        <v>30</v>
      </c>
      <c r="F262" s="62" t="s">
        <v>31</v>
      </c>
      <c r="G262" s="69" t="s">
        <v>1215</v>
      </c>
      <c r="H262" s="66"/>
      <c r="I262" s="66"/>
      <c r="J262" s="63" t="s">
        <v>775</v>
      </c>
      <c r="K262" s="113"/>
      <c r="L262" s="12" t="s">
        <v>30</v>
      </c>
      <c r="M262" s="9"/>
      <c r="N262" s="19">
        <v>30</v>
      </c>
      <c r="O262" s="12">
        <v>0</v>
      </c>
      <c r="P262" s="19">
        <f t="shared" ref="P262:P263" si="17">+N262+O262</f>
        <v>30</v>
      </c>
      <c r="Q262" s="19" t="e">
        <f t="shared" si="16"/>
        <v>#VALUE!</v>
      </c>
      <c r="R262" s="15" t="e">
        <f t="shared" si="15"/>
        <v>#VALUE!</v>
      </c>
      <c r="S262" s="9" t="s">
        <v>54</v>
      </c>
    </row>
    <row r="263" spans="1:19" ht="60">
      <c r="A263" s="7">
        <v>262</v>
      </c>
      <c r="B263" s="60" t="s">
        <v>1216</v>
      </c>
      <c r="C263" s="68" t="s">
        <v>1217</v>
      </c>
      <c r="D263" s="62" t="s">
        <v>30</v>
      </c>
      <c r="E263" s="64">
        <v>8</v>
      </c>
      <c r="F263" s="62" t="s">
        <v>31</v>
      </c>
      <c r="G263" s="69" t="s">
        <v>1218</v>
      </c>
      <c r="H263" s="66"/>
      <c r="I263" s="66"/>
      <c r="J263" s="11"/>
      <c r="K263" s="113"/>
      <c r="L263" s="12" t="s">
        <v>30</v>
      </c>
      <c r="M263" s="9"/>
      <c r="N263" s="19">
        <v>8</v>
      </c>
      <c r="O263" s="12">
        <v>0</v>
      </c>
      <c r="P263" s="19">
        <f t="shared" si="17"/>
        <v>8</v>
      </c>
      <c r="Q263" s="19" t="e">
        <f t="shared" si="16"/>
        <v>#VALUE!</v>
      </c>
      <c r="R263" s="15" t="e">
        <f t="shared" si="15"/>
        <v>#VALUE!</v>
      </c>
      <c r="S263" s="9" t="s">
        <v>354</v>
      </c>
    </row>
    <row r="264" spans="1:19" ht="75">
      <c r="A264" s="7">
        <v>263</v>
      </c>
      <c r="B264" s="8" t="s">
        <v>1219</v>
      </c>
      <c r="C264" s="9" t="s">
        <v>1220</v>
      </c>
      <c r="D264" s="10" t="s">
        <v>45</v>
      </c>
      <c r="E264" s="10">
        <v>11</v>
      </c>
      <c r="F264" s="10" t="s">
        <v>31</v>
      </c>
      <c r="G264" s="9" t="s">
        <v>1121</v>
      </c>
      <c r="H264" s="10"/>
      <c r="I264" s="10"/>
      <c r="J264" s="11"/>
      <c r="K264" s="113"/>
      <c r="L264" s="12" t="s">
        <v>45</v>
      </c>
      <c r="M264" s="9" t="s">
        <v>640</v>
      </c>
      <c r="N264" s="19" t="s">
        <v>999</v>
      </c>
      <c r="O264" s="12">
        <v>0</v>
      </c>
      <c r="P264" s="19" t="s">
        <v>999</v>
      </c>
      <c r="Q264" s="19" t="e">
        <f t="shared" si="16"/>
        <v>#VALUE!</v>
      </c>
      <c r="R264" s="15" t="e">
        <f t="shared" si="15"/>
        <v>#VALUE!</v>
      </c>
      <c r="S264" s="16" t="s">
        <v>48</v>
      </c>
    </row>
    <row r="265" spans="1:19" ht="135">
      <c r="A265" s="7">
        <v>264</v>
      </c>
      <c r="B265" s="8" t="s">
        <v>1221</v>
      </c>
      <c r="C265" s="9" t="s">
        <v>1222</v>
      </c>
      <c r="D265" s="10" t="s">
        <v>30</v>
      </c>
      <c r="E265" s="17">
        <v>1</v>
      </c>
      <c r="F265" s="10" t="s">
        <v>31</v>
      </c>
      <c r="G265" s="9" t="s">
        <v>1183</v>
      </c>
      <c r="H265" s="9" t="s">
        <v>39</v>
      </c>
      <c r="I265" s="9" t="s">
        <v>40</v>
      </c>
      <c r="J265" s="11"/>
      <c r="K265" s="113"/>
      <c r="L265" s="12" t="s">
        <v>30</v>
      </c>
      <c r="M265" s="9" t="s">
        <v>1125</v>
      </c>
      <c r="N265" s="19">
        <v>1</v>
      </c>
      <c r="O265" s="12">
        <v>0</v>
      </c>
      <c r="P265" s="19">
        <f>+N265+O265</f>
        <v>1</v>
      </c>
      <c r="Q265" s="19" t="e">
        <f t="shared" si="16"/>
        <v>#VALUE!</v>
      </c>
      <c r="R265" s="15" t="e">
        <f t="shared" si="15"/>
        <v>#VALUE!</v>
      </c>
      <c r="S265" s="9" t="s">
        <v>1126</v>
      </c>
    </row>
    <row r="266" spans="1:19" ht="90">
      <c r="A266" s="7">
        <v>265</v>
      </c>
      <c r="B266" s="8" t="s">
        <v>1223</v>
      </c>
      <c r="C266" s="9" t="s">
        <v>1224</v>
      </c>
      <c r="D266" s="10" t="s">
        <v>30</v>
      </c>
      <c r="E266" s="17">
        <v>35</v>
      </c>
      <c r="F266" s="10" t="s">
        <v>31</v>
      </c>
      <c r="G266" s="9" t="s">
        <v>1129</v>
      </c>
      <c r="H266" s="10"/>
      <c r="I266" s="10"/>
      <c r="J266" s="11" t="s">
        <v>1130</v>
      </c>
      <c r="K266" s="113"/>
      <c r="L266" s="12" t="s">
        <v>30</v>
      </c>
      <c r="M266" s="9" t="s">
        <v>1131</v>
      </c>
      <c r="N266" s="19">
        <v>35</v>
      </c>
      <c r="O266" s="12">
        <v>0</v>
      </c>
      <c r="P266" s="19">
        <f>+N266+O266</f>
        <v>35</v>
      </c>
      <c r="Q266" s="19" t="e">
        <f t="shared" si="16"/>
        <v>#VALUE!</v>
      </c>
      <c r="R266" s="15" t="e">
        <f t="shared" si="15"/>
        <v>#VALUE!</v>
      </c>
      <c r="S266" s="9" t="s">
        <v>54</v>
      </c>
    </row>
    <row r="267" spans="1:19" ht="90">
      <c r="A267" s="7">
        <v>266</v>
      </c>
      <c r="B267" s="8" t="s">
        <v>1225</v>
      </c>
      <c r="C267" s="21" t="s">
        <v>1226</v>
      </c>
      <c r="D267" s="10" t="s">
        <v>30</v>
      </c>
      <c r="E267" s="17">
        <v>20</v>
      </c>
      <c r="F267" s="10" t="s">
        <v>31</v>
      </c>
      <c r="G267" s="21" t="s">
        <v>1227</v>
      </c>
      <c r="H267" s="10"/>
      <c r="I267" s="10"/>
      <c r="J267" s="18" t="s">
        <v>1130</v>
      </c>
      <c r="K267" s="113"/>
      <c r="L267" s="12" t="s">
        <v>30</v>
      </c>
      <c r="M267" s="9" t="s">
        <v>1131</v>
      </c>
      <c r="N267" s="19">
        <v>20</v>
      </c>
      <c r="O267" s="12">
        <v>0</v>
      </c>
      <c r="P267" s="19">
        <f>+N267+O267</f>
        <v>20</v>
      </c>
      <c r="Q267" s="19" t="e">
        <f t="shared" si="16"/>
        <v>#VALUE!</v>
      </c>
      <c r="R267" s="15" t="e">
        <f t="shared" si="15"/>
        <v>#VALUE!</v>
      </c>
      <c r="S267" s="9" t="s">
        <v>1135</v>
      </c>
    </row>
    <row r="268" spans="1:19" ht="120">
      <c r="A268" s="7">
        <v>267</v>
      </c>
      <c r="B268" s="60" t="s">
        <v>1228</v>
      </c>
      <c r="C268" s="61" t="s">
        <v>1229</v>
      </c>
      <c r="D268" s="62" t="s">
        <v>45</v>
      </c>
      <c r="E268" s="62" t="s">
        <v>191</v>
      </c>
      <c r="F268" s="62" t="s">
        <v>31</v>
      </c>
      <c r="G268" s="61" t="s">
        <v>1230</v>
      </c>
      <c r="H268" s="62"/>
      <c r="I268" s="62"/>
      <c r="J268" s="18"/>
      <c r="K268" s="113"/>
      <c r="L268" s="12" t="s">
        <v>45</v>
      </c>
      <c r="M268" s="9"/>
      <c r="N268" s="19">
        <v>12</v>
      </c>
      <c r="O268" s="12">
        <v>2</v>
      </c>
      <c r="P268" s="19">
        <f t="shared" ref="P268" si="18">+N268+O268</f>
        <v>14</v>
      </c>
      <c r="Q268" s="19" t="e">
        <f t="shared" si="16"/>
        <v>#VALUE!</v>
      </c>
      <c r="R268" s="15" t="e">
        <f t="shared" si="15"/>
        <v>#VALUE!</v>
      </c>
      <c r="S268" s="9" t="s">
        <v>529</v>
      </c>
    </row>
    <row r="269" spans="1:19" ht="120">
      <c r="A269" s="7">
        <v>268</v>
      </c>
      <c r="B269" s="60" t="s">
        <v>1231</v>
      </c>
      <c r="C269" s="61" t="s">
        <v>1232</v>
      </c>
      <c r="D269" s="62" t="s">
        <v>45</v>
      </c>
      <c r="E269" s="62" t="s">
        <v>995</v>
      </c>
      <c r="F269" s="62" t="s">
        <v>31</v>
      </c>
      <c r="G269" s="61" t="s">
        <v>1233</v>
      </c>
      <c r="H269" s="62"/>
      <c r="I269" s="62"/>
      <c r="J269" s="63" t="s">
        <v>1234</v>
      </c>
      <c r="K269" s="113"/>
      <c r="L269" s="12" t="s">
        <v>45</v>
      </c>
      <c r="M269" s="9" t="s">
        <v>221</v>
      </c>
      <c r="N269" s="19" t="s">
        <v>998</v>
      </c>
      <c r="O269" s="12">
        <v>8</v>
      </c>
      <c r="P269" s="19" t="s">
        <v>999</v>
      </c>
      <c r="Q269" s="19" t="e">
        <f t="shared" si="16"/>
        <v>#VALUE!</v>
      </c>
      <c r="R269" s="15" t="e">
        <f t="shared" si="15"/>
        <v>#VALUE!</v>
      </c>
      <c r="S269" s="16" t="s">
        <v>1005</v>
      </c>
    </row>
    <row r="270" spans="1:19" ht="90">
      <c r="A270" s="7">
        <v>269</v>
      </c>
      <c r="B270" s="60" t="s">
        <v>1235</v>
      </c>
      <c r="C270" s="61" t="s">
        <v>1236</v>
      </c>
      <c r="D270" s="62" t="s">
        <v>45</v>
      </c>
      <c r="E270" s="62" t="s">
        <v>995</v>
      </c>
      <c r="F270" s="62" t="s">
        <v>31</v>
      </c>
      <c r="G270" s="61" t="s">
        <v>1237</v>
      </c>
      <c r="H270" s="66"/>
      <c r="I270" s="66"/>
      <c r="J270" s="11"/>
      <c r="K270" s="113"/>
      <c r="L270" s="12" t="s">
        <v>45</v>
      </c>
      <c r="M270" s="9" t="s">
        <v>206</v>
      </c>
      <c r="N270" s="19" t="s">
        <v>998</v>
      </c>
      <c r="O270" s="12">
        <v>8</v>
      </c>
      <c r="P270" s="19" t="s">
        <v>999</v>
      </c>
      <c r="Q270" s="19" t="e">
        <f t="shared" si="16"/>
        <v>#VALUE!</v>
      </c>
      <c r="R270" s="15" t="e">
        <f t="shared" si="15"/>
        <v>#VALUE!</v>
      </c>
      <c r="S270" s="20" t="s">
        <v>1146</v>
      </c>
    </row>
    <row r="271" spans="1:19" ht="135">
      <c r="A271" s="7">
        <v>270</v>
      </c>
      <c r="B271" s="8" t="s">
        <v>1238</v>
      </c>
      <c r="C271" s="21" t="s">
        <v>1239</v>
      </c>
      <c r="D271" s="10" t="s">
        <v>30</v>
      </c>
      <c r="E271" s="10">
        <v>1</v>
      </c>
      <c r="F271" s="10" t="s">
        <v>31</v>
      </c>
      <c r="G271" s="21" t="s">
        <v>1240</v>
      </c>
      <c r="H271" s="10"/>
      <c r="I271" s="10"/>
      <c r="J271" s="11"/>
      <c r="K271" s="113"/>
      <c r="L271" s="12" t="s">
        <v>30</v>
      </c>
      <c r="M271" s="9" t="s">
        <v>1150</v>
      </c>
      <c r="N271" s="19" t="s">
        <v>34</v>
      </c>
      <c r="O271" s="12">
        <v>0</v>
      </c>
      <c r="P271" s="19" t="s">
        <v>34</v>
      </c>
      <c r="Q271" s="19" t="e">
        <f t="shared" si="16"/>
        <v>#VALUE!</v>
      </c>
      <c r="R271" s="15" t="e">
        <f t="shared" si="15"/>
        <v>#VALUE!</v>
      </c>
      <c r="S271" s="36" t="s">
        <v>1151</v>
      </c>
    </row>
    <row r="272" spans="1:19" ht="105">
      <c r="A272" s="7">
        <v>271</v>
      </c>
      <c r="B272" s="8" t="s">
        <v>1241</v>
      </c>
      <c r="C272" s="9" t="s">
        <v>1242</v>
      </c>
      <c r="D272" s="10" t="s">
        <v>45</v>
      </c>
      <c r="E272" s="10">
        <v>2</v>
      </c>
      <c r="F272" s="10" t="s">
        <v>31</v>
      </c>
      <c r="G272" s="9" t="s">
        <v>1243</v>
      </c>
      <c r="H272" s="9" t="s">
        <v>1015</v>
      </c>
      <c r="I272" s="9" t="s">
        <v>1016</v>
      </c>
      <c r="J272" s="11" t="s">
        <v>1017</v>
      </c>
      <c r="K272" s="113"/>
      <c r="L272" s="12" t="s">
        <v>45</v>
      </c>
      <c r="M272" s="9" t="s">
        <v>206</v>
      </c>
      <c r="N272" s="19" t="s">
        <v>140</v>
      </c>
      <c r="O272" s="12">
        <v>0</v>
      </c>
      <c r="P272" s="19" t="s">
        <v>140</v>
      </c>
      <c r="Q272" s="19" t="e">
        <f t="shared" si="16"/>
        <v>#VALUE!</v>
      </c>
      <c r="R272" s="15" t="e">
        <f t="shared" si="15"/>
        <v>#VALUE!</v>
      </c>
      <c r="S272" s="9" t="s">
        <v>1155</v>
      </c>
    </row>
    <row r="273" spans="1:19" ht="105">
      <c r="A273" s="7">
        <v>272</v>
      </c>
      <c r="B273" s="8" t="s">
        <v>1244</v>
      </c>
      <c r="C273" s="9" t="s">
        <v>1245</v>
      </c>
      <c r="D273" s="10" t="s">
        <v>45</v>
      </c>
      <c r="E273" s="10">
        <v>8</v>
      </c>
      <c r="F273" s="10" t="s">
        <v>31</v>
      </c>
      <c r="G273" s="9" t="s">
        <v>1246</v>
      </c>
      <c r="H273" s="10"/>
      <c r="I273" s="10"/>
      <c r="J273" s="11" t="s">
        <v>1247</v>
      </c>
      <c r="K273" s="113"/>
      <c r="L273" s="12" t="s">
        <v>45</v>
      </c>
      <c r="M273" s="9" t="s">
        <v>1160</v>
      </c>
      <c r="N273" s="19" t="s">
        <v>1024</v>
      </c>
      <c r="O273" s="12">
        <v>0</v>
      </c>
      <c r="P273" s="19" t="s">
        <v>1024</v>
      </c>
      <c r="Q273" s="19" t="e">
        <f t="shared" si="16"/>
        <v>#VALUE!</v>
      </c>
      <c r="R273" s="15" t="e">
        <f t="shared" si="15"/>
        <v>#VALUE!</v>
      </c>
      <c r="S273" s="9" t="s">
        <v>1161</v>
      </c>
    </row>
    <row r="274" spans="1:19" ht="90">
      <c r="A274" s="7">
        <v>273</v>
      </c>
      <c r="B274" s="8" t="s">
        <v>1248</v>
      </c>
      <c r="C274" s="9" t="s">
        <v>1249</v>
      </c>
      <c r="D274" s="10" t="s">
        <v>30</v>
      </c>
      <c r="E274" s="17">
        <v>4</v>
      </c>
      <c r="F274" s="10" t="s">
        <v>31</v>
      </c>
      <c r="G274" s="9" t="s">
        <v>1164</v>
      </c>
      <c r="H274" s="10"/>
      <c r="I274" s="10"/>
      <c r="J274" s="11"/>
      <c r="K274" s="113"/>
      <c r="L274" s="12" t="s">
        <v>30</v>
      </c>
      <c r="M274" s="9" t="s">
        <v>154</v>
      </c>
      <c r="N274" s="19">
        <v>4</v>
      </c>
      <c r="O274" s="12">
        <v>0</v>
      </c>
      <c r="P274" s="19">
        <f>+N274+O274</f>
        <v>4</v>
      </c>
      <c r="Q274" s="19" t="e">
        <f t="shared" si="16"/>
        <v>#VALUE!</v>
      </c>
      <c r="R274" s="15" t="e">
        <f t="shared" si="15"/>
        <v>#VALUE!</v>
      </c>
      <c r="S274" s="9" t="s">
        <v>1165</v>
      </c>
    </row>
    <row r="275" spans="1:19" ht="105">
      <c r="A275" s="7">
        <v>274</v>
      </c>
      <c r="B275" s="8" t="s">
        <v>1250</v>
      </c>
      <c r="C275" s="9" t="s">
        <v>1251</v>
      </c>
      <c r="D275" s="10" t="s">
        <v>30</v>
      </c>
      <c r="E275" s="17">
        <v>35</v>
      </c>
      <c r="F275" s="10" t="s">
        <v>31</v>
      </c>
      <c r="G275" s="9" t="s">
        <v>1168</v>
      </c>
      <c r="H275" s="10"/>
      <c r="I275" s="10"/>
      <c r="J275" s="11" t="s">
        <v>1130</v>
      </c>
      <c r="K275" s="113"/>
      <c r="L275" s="12" t="s">
        <v>30</v>
      </c>
      <c r="M275" s="9" t="s">
        <v>1169</v>
      </c>
      <c r="N275" s="19">
        <v>35</v>
      </c>
      <c r="O275" s="12">
        <v>0</v>
      </c>
      <c r="P275" s="19">
        <f>+N275+O275</f>
        <v>35</v>
      </c>
      <c r="Q275" s="19" t="e">
        <f t="shared" si="16"/>
        <v>#VALUE!</v>
      </c>
      <c r="R275" s="15" t="e">
        <f t="shared" si="15"/>
        <v>#VALUE!</v>
      </c>
      <c r="S275" s="9" t="s">
        <v>1170</v>
      </c>
    </row>
    <row r="276" spans="1:19" ht="60">
      <c r="A276" s="7">
        <v>275</v>
      </c>
      <c r="B276" s="8" t="s">
        <v>1252</v>
      </c>
      <c r="C276" s="9" t="s">
        <v>1253</v>
      </c>
      <c r="D276" s="10" t="s">
        <v>30</v>
      </c>
      <c r="E276" s="17">
        <v>15</v>
      </c>
      <c r="F276" s="10" t="s">
        <v>31</v>
      </c>
      <c r="G276" s="9" t="s">
        <v>281</v>
      </c>
      <c r="H276" s="10"/>
      <c r="I276" s="10"/>
      <c r="J276" s="18"/>
      <c r="K276" s="113"/>
      <c r="L276" s="12" t="s">
        <v>30</v>
      </c>
      <c r="M276" s="9" t="s">
        <v>1169</v>
      </c>
      <c r="N276" s="19">
        <v>15</v>
      </c>
      <c r="O276" s="12">
        <v>0</v>
      </c>
      <c r="P276" s="19">
        <f>+N276+O276</f>
        <v>15</v>
      </c>
      <c r="Q276" s="19" t="e">
        <f t="shared" si="16"/>
        <v>#VALUE!</v>
      </c>
      <c r="R276" s="15" t="e">
        <f t="shared" si="15"/>
        <v>#VALUE!</v>
      </c>
      <c r="S276" s="16" t="s">
        <v>48</v>
      </c>
    </row>
    <row r="277" spans="1:19" ht="75">
      <c r="A277" s="7">
        <v>276</v>
      </c>
      <c r="B277" s="60" t="s">
        <v>1254</v>
      </c>
      <c r="C277" s="68" t="s">
        <v>1255</v>
      </c>
      <c r="D277" s="64" t="s">
        <v>30</v>
      </c>
      <c r="E277" s="62">
        <v>30</v>
      </c>
      <c r="F277" s="62" t="s">
        <v>31</v>
      </c>
      <c r="G277" s="61" t="s">
        <v>1256</v>
      </c>
      <c r="H277" s="62"/>
      <c r="I277" s="62"/>
      <c r="J277" s="63" t="s">
        <v>775</v>
      </c>
      <c r="K277" s="67"/>
      <c r="L277" s="12" t="s">
        <v>30</v>
      </c>
      <c r="M277" s="9"/>
      <c r="N277" s="19">
        <v>30</v>
      </c>
      <c r="O277" s="12">
        <v>0</v>
      </c>
      <c r="P277" s="19">
        <f t="shared" ref="P277:P278" si="19">+N277+O277</f>
        <v>30</v>
      </c>
      <c r="Q277" s="19" t="e">
        <f t="shared" si="16"/>
        <v>#VALUE!</v>
      </c>
      <c r="R277" s="15" t="e">
        <f t="shared" si="15"/>
        <v>#VALUE!</v>
      </c>
      <c r="S277" s="9" t="s">
        <v>54</v>
      </c>
    </row>
    <row r="278" spans="1:19" ht="60">
      <c r="A278" s="7">
        <v>277</v>
      </c>
      <c r="B278" s="60" t="s">
        <v>1257</v>
      </c>
      <c r="C278" s="68" t="s">
        <v>1258</v>
      </c>
      <c r="D278" s="64" t="s">
        <v>30</v>
      </c>
      <c r="E278" s="64">
        <v>8</v>
      </c>
      <c r="F278" s="62" t="s">
        <v>31</v>
      </c>
      <c r="G278" s="70" t="s">
        <v>1259</v>
      </c>
      <c r="H278" s="66"/>
      <c r="I278" s="66"/>
      <c r="J278" s="63"/>
      <c r="K278" s="67"/>
      <c r="L278" s="12" t="s">
        <v>30</v>
      </c>
      <c r="M278" s="9"/>
      <c r="N278" s="19">
        <v>8</v>
      </c>
      <c r="O278" s="12">
        <v>0</v>
      </c>
      <c r="P278" s="19">
        <f t="shared" si="19"/>
        <v>8</v>
      </c>
      <c r="Q278" s="19" t="e">
        <f t="shared" si="16"/>
        <v>#VALUE!</v>
      </c>
      <c r="R278" s="15" t="e">
        <f t="shared" si="15"/>
        <v>#VALUE!</v>
      </c>
      <c r="S278" s="9" t="s">
        <v>354</v>
      </c>
    </row>
    <row r="279" spans="1:19" ht="75">
      <c r="A279" s="7">
        <v>278</v>
      </c>
      <c r="B279" s="60" t="s">
        <v>1260</v>
      </c>
      <c r="C279" s="61" t="s">
        <v>1261</v>
      </c>
      <c r="D279" s="64" t="s">
        <v>45</v>
      </c>
      <c r="E279" s="66" t="s">
        <v>995</v>
      </c>
      <c r="F279" s="62" t="s">
        <v>31</v>
      </c>
      <c r="G279" s="61" t="s">
        <v>1262</v>
      </c>
      <c r="H279" s="66"/>
      <c r="I279" s="66"/>
      <c r="J279" s="11" t="s">
        <v>1263</v>
      </c>
      <c r="K279" s="71"/>
      <c r="L279" s="12" t="s">
        <v>45</v>
      </c>
      <c r="M279" s="9" t="s">
        <v>206</v>
      </c>
      <c r="N279" s="19" t="s">
        <v>998</v>
      </c>
      <c r="O279" s="12">
        <v>8</v>
      </c>
      <c r="P279" s="19" t="s">
        <v>999</v>
      </c>
      <c r="Q279" s="19" t="e">
        <f t="shared" si="16"/>
        <v>#VALUE!</v>
      </c>
      <c r="R279" s="15" t="e">
        <f t="shared" si="15"/>
        <v>#VALUE!</v>
      </c>
      <c r="S279" s="20" t="s">
        <v>1264</v>
      </c>
    </row>
    <row r="280" spans="1:19" ht="120">
      <c r="A280" s="7">
        <v>279</v>
      </c>
      <c r="B280" s="8" t="s">
        <v>1265</v>
      </c>
      <c r="C280" s="9" t="s">
        <v>1266</v>
      </c>
      <c r="D280" s="10" t="s">
        <v>30</v>
      </c>
      <c r="E280" s="10">
        <v>4</v>
      </c>
      <c r="F280" s="10" t="s">
        <v>31</v>
      </c>
      <c r="G280" s="9" t="s">
        <v>1267</v>
      </c>
      <c r="H280" s="9" t="s">
        <v>84</v>
      </c>
      <c r="I280" s="9" t="s">
        <v>85</v>
      </c>
      <c r="J280" s="11" t="s">
        <v>1268</v>
      </c>
      <c r="K280" s="72"/>
      <c r="L280" s="12" t="s">
        <v>30</v>
      </c>
      <c r="M280" s="9" t="s">
        <v>1169</v>
      </c>
      <c r="N280" s="19" t="s">
        <v>1269</v>
      </c>
      <c r="O280" s="12">
        <v>0</v>
      </c>
      <c r="P280" s="19" t="s">
        <v>1269</v>
      </c>
      <c r="Q280" s="19" t="e">
        <f t="shared" si="16"/>
        <v>#VALUE!</v>
      </c>
      <c r="R280" s="15" t="e">
        <f t="shared" si="15"/>
        <v>#VALUE!</v>
      </c>
      <c r="S280" s="9" t="s">
        <v>1270</v>
      </c>
    </row>
    <row r="281" spans="1:19" ht="105">
      <c r="A281" s="7">
        <v>280</v>
      </c>
      <c r="B281" s="8" t="s">
        <v>1271</v>
      </c>
      <c r="C281" s="9" t="s">
        <v>1272</v>
      </c>
      <c r="D281" s="10" t="s">
        <v>30</v>
      </c>
      <c r="E281" s="17">
        <v>8</v>
      </c>
      <c r="F281" s="10" t="s">
        <v>31</v>
      </c>
      <c r="G281" s="9" t="s">
        <v>1273</v>
      </c>
      <c r="H281" s="10"/>
      <c r="I281" s="10"/>
      <c r="J281" s="11"/>
      <c r="K281" s="48"/>
      <c r="L281" s="12" t="s">
        <v>30</v>
      </c>
      <c r="M281" s="73" t="s">
        <v>1274</v>
      </c>
      <c r="N281" s="19">
        <v>8</v>
      </c>
      <c r="O281" s="12">
        <v>0</v>
      </c>
      <c r="P281" s="19">
        <v>8</v>
      </c>
      <c r="Q281" s="19" t="e">
        <f t="shared" si="16"/>
        <v>#VALUE!</v>
      </c>
      <c r="R281" s="15" t="e">
        <f t="shared" si="15"/>
        <v>#VALUE!</v>
      </c>
      <c r="S281" s="72"/>
    </row>
    <row r="282" spans="1:19" ht="120">
      <c r="A282" s="7">
        <v>281</v>
      </c>
      <c r="B282" s="60" t="s">
        <v>1275</v>
      </c>
      <c r="C282" s="61" t="s">
        <v>1276</v>
      </c>
      <c r="D282" s="62" t="s">
        <v>45</v>
      </c>
      <c r="E282" s="62">
        <v>2</v>
      </c>
      <c r="F282" s="62" t="s">
        <v>31</v>
      </c>
      <c r="G282" s="61" t="s">
        <v>1277</v>
      </c>
      <c r="H282" s="62"/>
      <c r="I282" s="62"/>
      <c r="J282" s="11"/>
      <c r="K282" s="30"/>
      <c r="L282" s="12" t="s">
        <v>45</v>
      </c>
      <c r="M282" s="73" t="s">
        <v>1278</v>
      </c>
      <c r="N282" s="19" t="s">
        <v>140</v>
      </c>
      <c r="O282" s="12">
        <v>0</v>
      </c>
      <c r="P282" s="19" t="s">
        <v>140</v>
      </c>
      <c r="Q282" s="19" t="e">
        <f t="shared" si="16"/>
        <v>#VALUE!</v>
      </c>
      <c r="R282" s="15" t="e">
        <f t="shared" si="15"/>
        <v>#VALUE!</v>
      </c>
      <c r="S282" s="74" t="s">
        <v>1279</v>
      </c>
    </row>
    <row r="283" spans="1:19" ht="90">
      <c r="A283" s="7">
        <v>282</v>
      </c>
      <c r="B283" s="60" t="s">
        <v>1280</v>
      </c>
      <c r="C283" s="61" t="s">
        <v>1281</v>
      </c>
      <c r="D283" s="62" t="s">
        <v>45</v>
      </c>
      <c r="E283" s="62" t="s">
        <v>1282</v>
      </c>
      <c r="F283" s="62" t="s">
        <v>31</v>
      </c>
      <c r="G283" s="61" t="s">
        <v>1283</v>
      </c>
      <c r="H283" s="62"/>
      <c r="I283" s="62"/>
      <c r="J283" s="11" t="s">
        <v>1284</v>
      </c>
      <c r="K283" s="75"/>
      <c r="L283" s="12" t="s">
        <v>45</v>
      </c>
      <c r="M283" s="73" t="s">
        <v>640</v>
      </c>
      <c r="N283" s="19" t="s">
        <v>1285</v>
      </c>
      <c r="O283" s="12">
        <v>2</v>
      </c>
      <c r="P283" s="19" t="s">
        <v>1111</v>
      </c>
      <c r="Q283" s="19" t="e">
        <f t="shared" si="16"/>
        <v>#VALUE!</v>
      </c>
      <c r="R283" s="15" t="e">
        <f t="shared" si="15"/>
        <v>#VALUE!</v>
      </c>
      <c r="S283" s="63" t="s">
        <v>1286</v>
      </c>
    </row>
    <row r="284" spans="1:19" ht="405">
      <c r="A284" s="7">
        <v>283</v>
      </c>
      <c r="B284" s="60" t="s">
        <v>1287</v>
      </c>
      <c r="C284" s="61" t="s">
        <v>1288</v>
      </c>
      <c r="D284" s="62" t="s">
        <v>45</v>
      </c>
      <c r="E284" s="62">
        <v>14</v>
      </c>
      <c r="F284" s="62" t="s">
        <v>31</v>
      </c>
      <c r="G284" s="61" t="s">
        <v>1289</v>
      </c>
      <c r="H284" s="62"/>
      <c r="I284" s="62"/>
      <c r="J284" s="11" t="s">
        <v>1290</v>
      </c>
      <c r="K284" s="30"/>
      <c r="L284" s="12" t="s">
        <v>30</v>
      </c>
      <c r="M284" s="73" t="s">
        <v>206</v>
      </c>
      <c r="N284" s="19" t="s">
        <v>33</v>
      </c>
      <c r="O284" s="12">
        <v>0</v>
      </c>
      <c r="P284" s="19" t="s">
        <v>33</v>
      </c>
      <c r="Q284" s="19" t="e">
        <f t="shared" si="16"/>
        <v>#VALUE!</v>
      </c>
      <c r="R284" s="15" t="e">
        <f t="shared" si="15"/>
        <v>#VALUE!</v>
      </c>
      <c r="S284" s="76" t="s">
        <v>1291</v>
      </c>
    </row>
    <row r="285" spans="1:19" ht="150">
      <c r="A285" s="7">
        <v>284</v>
      </c>
      <c r="B285" s="60" t="s">
        <v>1292</v>
      </c>
      <c r="C285" s="61" t="s">
        <v>1293</v>
      </c>
      <c r="D285" s="62" t="s">
        <v>45</v>
      </c>
      <c r="E285" s="62">
        <v>14</v>
      </c>
      <c r="F285" s="62" t="s">
        <v>31</v>
      </c>
      <c r="G285" s="61" t="s">
        <v>1294</v>
      </c>
      <c r="H285" s="62"/>
      <c r="I285" s="62"/>
      <c r="J285" s="11"/>
      <c r="K285" s="77"/>
      <c r="L285" s="12" t="s">
        <v>45</v>
      </c>
      <c r="M285" s="73" t="s">
        <v>640</v>
      </c>
      <c r="N285" s="19" t="s">
        <v>33</v>
      </c>
      <c r="O285" s="12">
        <v>0</v>
      </c>
      <c r="P285" s="19" t="s">
        <v>33</v>
      </c>
      <c r="Q285" s="19" t="e">
        <f t="shared" si="16"/>
        <v>#VALUE!</v>
      </c>
      <c r="R285" s="15" t="e">
        <f t="shared" si="15"/>
        <v>#VALUE!</v>
      </c>
      <c r="S285" s="78" t="s">
        <v>1295</v>
      </c>
    </row>
    <row r="286" spans="1:19" ht="195">
      <c r="A286" s="7">
        <v>285</v>
      </c>
      <c r="B286" s="60" t="s">
        <v>1296</v>
      </c>
      <c r="C286" s="61" t="s">
        <v>1297</v>
      </c>
      <c r="D286" s="62" t="s">
        <v>30</v>
      </c>
      <c r="E286" s="62">
        <v>1</v>
      </c>
      <c r="F286" s="62" t="s">
        <v>31</v>
      </c>
      <c r="G286" s="61" t="s">
        <v>1298</v>
      </c>
      <c r="H286" s="62"/>
      <c r="I286" s="62"/>
      <c r="J286" s="11"/>
      <c r="K286" s="30"/>
      <c r="L286" s="12" t="s">
        <v>30</v>
      </c>
      <c r="M286" s="73" t="s">
        <v>281</v>
      </c>
      <c r="N286" s="19" t="s">
        <v>34</v>
      </c>
      <c r="O286" s="12">
        <v>0</v>
      </c>
      <c r="P286" s="19" t="s">
        <v>34</v>
      </c>
      <c r="Q286" s="19" t="e">
        <f t="shared" si="16"/>
        <v>#VALUE!</v>
      </c>
      <c r="R286" s="15" t="e">
        <f t="shared" si="15"/>
        <v>#VALUE!</v>
      </c>
      <c r="S286" s="9" t="s">
        <v>1299</v>
      </c>
    </row>
    <row r="287" spans="1:19" ht="150">
      <c r="A287" s="7">
        <v>286</v>
      </c>
      <c r="B287" s="8" t="s">
        <v>1300</v>
      </c>
      <c r="C287" s="9" t="s">
        <v>1301</v>
      </c>
      <c r="D287" s="10" t="s">
        <v>45</v>
      </c>
      <c r="E287" s="17" t="s">
        <v>191</v>
      </c>
      <c r="F287" s="10" t="s">
        <v>31</v>
      </c>
      <c r="G287" s="9" t="s">
        <v>1302</v>
      </c>
      <c r="H287" s="10"/>
      <c r="I287" s="10"/>
      <c r="J287" s="11" t="s">
        <v>1303</v>
      </c>
      <c r="K287" s="114"/>
      <c r="L287" s="72" t="s">
        <v>45</v>
      </c>
      <c r="M287" s="73" t="s">
        <v>640</v>
      </c>
      <c r="N287" s="19">
        <v>12</v>
      </c>
      <c r="O287" s="12">
        <v>2</v>
      </c>
      <c r="P287" s="19">
        <f t="shared" ref="P287" si="20">+N287+O287</f>
        <v>14</v>
      </c>
      <c r="Q287" s="19" t="e">
        <f t="shared" si="16"/>
        <v>#VALUE!</v>
      </c>
      <c r="R287" s="15" t="e">
        <f t="shared" si="15"/>
        <v>#VALUE!</v>
      </c>
      <c r="S287" s="9" t="s">
        <v>1302</v>
      </c>
    </row>
    <row r="288" spans="1:19" ht="135">
      <c r="A288" s="7">
        <v>287</v>
      </c>
      <c r="B288" s="8" t="s">
        <v>1304</v>
      </c>
      <c r="C288" s="9" t="s">
        <v>1305</v>
      </c>
      <c r="D288" s="10" t="s">
        <v>30</v>
      </c>
      <c r="E288" s="17">
        <v>1</v>
      </c>
      <c r="F288" s="10" t="s">
        <v>31</v>
      </c>
      <c r="G288" s="9" t="s">
        <v>1306</v>
      </c>
      <c r="H288" s="10"/>
      <c r="I288" s="10"/>
      <c r="J288" s="11" t="s">
        <v>1307</v>
      </c>
      <c r="K288" s="114"/>
      <c r="L288" s="72" t="s">
        <v>30</v>
      </c>
      <c r="M288" s="11" t="s">
        <v>1308</v>
      </c>
      <c r="N288" s="19">
        <v>1</v>
      </c>
      <c r="O288" s="12">
        <v>0</v>
      </c>
      <c r="P288" s="19">
        <v>1</v>
      </c>
      <c r="Q288" s="19" t="e">
        <f t="shared" si="16"/>
        <v>#VALUE!</v>
      </c>
      <c r="R288" s="15" t="e">
        <f t="shared" si="15"/>
        <v>#VALUE!</v>
      </c>
      <c r="S288" s="9" t="s">
        <v>1306</v>
      </c>
    </row>
    <row r="289" spans="1:19" ht="165">
      <c r="A289" s="7">
        <v>288</v>
      </c>
      <c r="B289" s="8" t="s">
        <v>1309</v>
      </c>
      <c r="C289" s="9" t="s">
        <v>1310</v>
      </c>
      <c r="D289" s="10" t="s">
        <v>30</v>
      </c>
      <c r="E289" s="17">
        <v>1</v>
      </c>
      <c r="F289" s="10" t="s">
        <v>31</v>
      </c>
      <c r="G289" s="9" t="s">
        <v>1311</v>
      </c>
      <c r="H289" s="10"/>
      <c r="I289" s="10"/>
      <c r="J289" s="11" t="s">
        <v>1312</v>
      </c>
      <c r="K289" s="79"/>
      <c r="L289" s="72" t="s">
        <v>30</v>
      </c>
      <c r="M289" s="11" t="s">
        <v>1313</v>
      </c>
      <c r="N289" s="19">
        <v>1</v>
      </c>
      <c r="O289" s="12">
        <v>0</v>
      </c>
      <c r="P289" s="19">
        <v>1</v>
      </c>
      <c r="Q289" s="19" t="e">
        <f t="shared" si="16"/>
        <v>#VALUE!</v>
      </c>
      <c r="R289" s="15" t="e">
        <f t="shared" si="15"/>
        <v>#VALUE!</v>
      </c>
      <c r="S289" s="9" t="s">
        <v>1311</v>
      </c>
    </row>
    <row r="290" spans="1:19" ht="45">
      <c r="A290" s="7">
        <v>289</v>
      </c>
      <c r="B290" s="31" t="s">
        <v>1314</v>
      </c>
      <c r="C290" s="32" t="s">
        <v>1315</v>
      </c>
      <c r="D290" s="33" t="s">
        <v>45</v>
      </c>
      <c r="E290" s="34" t="s">
        <v>191</v>
      </c>
      <c r="F290" s="33" t="s">
        <v>31</v>
      </c>
      <c r="G290" s="32" t="s">
        <v>1316</v>
      </c>
      <c r="H290" s="33"/>
      <c r="I290" s="33"/>
      <c r="J290" s="11" t="s">
        <v>1317</v>
      </c>
      <c r="K290" s="80"/>
      <c r="L290" s="72" t="s">
        <v>45</v>
      </c>
      <c r="M290" s="11" t="s">
        <v>640</v>
      </c>
      <c r="N290" s="19">
        <v>12</v>
      </c>
      <c r="O290" s="12">
        <v>2</v>
      </c>
      <c r="P290" s="19">
        <f t="shared" ref="P290" si="21">+N290+O290</f>
        <v>14</v>
      </c>
      <c r="Q290" s="19" t="e">
        <f t="shared" si="16"/>
        <v>#VALUE!</v>
      </c>
      <c r="R290" s="15" t="e">
        <f t="shared" si="15"/>
        <v>#VALUE!</v>
      </c>
      <c r="S290" s="81" t="s">
        <v>1318</v>
      </c>
    </row>
    <row r="291" spans="1:19" ht="60">
      <c r="A291" s="7">
        <v>290</v>
      </c>
      <c r="B291" s="31" t="s">
        <v>1319</v>
      </c>
      <c r="C291" s="32" t="s">
        <v>1320</v>
      </c>
      <c r="D291" s="33" t="s">
        <v>30</v>
      </c>
      <c r="E291" s="34" t="s">
        <v>158</v>
      </c>
      <c r="F291" s="33" t="s">
        <v>31</v>
      </c>
      <c r="G291" s="32" t="s">
        <v>1316</v>
      </c>
      <c r="H291" s="33"/>
      <c r="I291" s="33"/>
      <c r="J291" s="11" t="s">
        <v>1321</v>
      </c>
      <c r="K291" s="80"/>
      <c r="L291" s="72" t="s">
        <v>30</v>
      </c>
      <c r="M291" s="11" t="s">
        <v>162</v>
      </c>
      <c r="N291" s="19">
        <v>3</v>
      </c>
      <c r="O291" s="12">
        <v>5</v>
      </c>
      <c r="P291" s="19">
        <v>8</v>
      </c>
      <c r="Q291" s="19" t="e">
        <f t="shared" si="16"/>
        <v>#VALUE!</v>
      </c>
      <c r="R291" s="15" t="e">
        <f t="shared" si="15"/>
        <v>#VALUE!</v>
      </c>
      <c r="S291" s="81" t="s">
        <v>1318</v>
      </c>
    </row>
    <row r="292" spans="1:19" ht="30">
      <c r="A292" s="7">
        <v>291</v>
      </c>
      <c r="B292" s="31" t="s">
        <v>1322</v>
      </c>
      <c r="C292" s="32" t="s">
        <v>1323</v>
      </c>
      <c r="D292" s="33" t="s">
        <v>45</v>
      </c>
      <c r="E292" s="34">
        <v>3</v>
      </c>
      <c r="F292" s="33" t="s">
        <v>31</v>
      </c>
      <c r="G292" s="32" t="s">
        <v>1316</v>
      </c>
      <c r="H292" s="33"/>
      <c r="I292" s="33"/>
      <c r="J292" s="11" t="s">
        <v>1324</v>
      </c>
      <c r="K292" s="80"/>
      <c r="L292" s="72" t="s">
        <v>45</v>
      </c>
      <c r="M292" s="11" t="s">
        <v>1325</v>
      </c>
      <c r="N292" s="19">
        <v>3</v>
      </c>
      <c r="O292" s="12">
        <v>0</v>
      </c>
      <c r="P292" s="19">
        <v>3</v>
      </c>
      <c r="Q292" s="19" t="e">
        <f t="shared" si="16"/>
        <v>#VALUE!</v>
      </c>
      <c r="R292" s="15" t="e">
        <f t="shared" si="15"/>
        <v>#VALUE!</v>
      </c>
      <c r="S292" s="82" t="s">
        <v>1318</v>
      </c>
    </row>
    <row r="293" spans="1:19" ht="330">
      <c r="A293" s="7">
        <v>292</v>
      </c>
      <c r="B293" s="60" t="s">
        <v>1326</v>
      </c>
      <c r="C293" s="61" t="s">
        <v>1327</v>
      </c>
      <c r="D293" s="62" t="s">
        <v>45</v>
      </c>
      <c r="E293" s="62">
        <v>1</v>
      </c>
      <c r="F293" s="62" t="s">
        <v>31</v>
      </c>
      <c r="G293" s="61" t="s">
        <v>1328</v>
      </c>
      <c r="H293" s="62"/>
      <c r="I293" s="62"/>
      <c r="J293" s="11" t="s">
        <v>1329</v>
      </c>
      <c r="K293" s="83" t="s">
        <v>1330</v>
      </c>
      <c r="L293" s="12" t="s">
        <v>45</v>
      </c>
      <c r="M293" s="9" t="s">
        <v>1331</v>
      </c>
      <c r="N293" s="19" t="s">
        <v>34</v>
      </c>
      <c r="O293" s="12">
        <v>0</v>
      </c>
      <c r="P293" s="19" t="s">
        <v>34</v>
      </c>
      <c r="Q293" s="19" t="e">
        <f t="shared" si="16"/>
        <v>#VALUE!</v>
      </c>
      <c r="R293" s="15" t="e">
        <f t="shared" si="15"/>
        <v>#VALUE!</v>
      </c>
      <c r="S293" s="9" t="s">
        <v>1332</v>
      </c>
    </row>
    <row r="294" spans="1:19" ht="135">
      <c r="A294" s="7">
        <v>293</v>
      </c>
      <c r="B294" s="60" t="s">
        <v>1333</v>
      </c>
      <c r="C294" s="61" t="s">
        <v>1334</v>
      </c>
      <c r="D294" s="62" t="s">
        <v>45</v>
      </c>
      <c r="E294" s="62">
        <v>3</v>
      </c>
      <c r="F294" s="62" t="s">
        <v>31</v>
      </c>
      <c r="G294" s="61" t="s">
        <v>1335</v>
      </c>
      <c r="H294" s="61" t="s">
        <v>132</v>
      </c>
      <c r="I294" s="61" t="s">
        <v>133</v>
      </c>
      <c r="J294" s="11" t="s">
        <v>1336</v>
      </c>
      <c r="K294" s="84" t="s">
        <v>583</v>
      </c>
      <c r="L294" s="12" t="s">
        <v>45</v>
      </c>
      <c r="M294" s="9" t="s">
        <v>1335</v>
      </c>
      <c r="N294" s="19" t="s">
        <v>998</v>
      </c>
      <c r="O294" s="12">
        <v>0</v>
      </c>
      <c r="P294" s="19" t="s">
        <v>998</v>
      </c>
      <c r="Q294" s="19" t="e">
        <f t="shared" si="16"/>
        <v>#VALUE!</v>
      </c>
      <c r="R294" s="15" t="e">
        <f t="shared" si="15"/>
        <v>#VALUE!</v>
      </c>
      <c r="S294" s="9" t="s">
        <v>1337</v>
      </c>
    </row>
    <row r="295" spans="1:19" ht="120">
      <c r="A295" s="7">
        <v>294</v>
      </c>
      <c r="B295" s="60" t="s">
        <v>1338</v>
      </c>
      <c r="C295" s="61" t="s">
        <v>1339</v>
      </c>
      <c r="D295" s="62" t="s">
        <v>45</v>
      </c>
      <c r="E295" s="62">
        <v>3</v>
      </c>
      <c r="F295" s="62" t="s">
        <v>31</v>
      </c>
      <c r="G295" s="70" t="s">
        <v>1335</v>
      </c>
      <c r="H295" s="61" t="s">
        <v>132</v>
      </c>
      <c r="I295" s="61" t="s">
        <v>133</v>
      </c>
      <c r="J295" s="11" t="s">
        <v>1340</v>
      </c>
      <c r="K295" s="85" t="s">
        <v>1341</v>
      </c>
      <c r="L295" s="12" t="s">
        <v>45</v>
      </c>
      <c r="M295" s="9" t="s">
        <v>1335</v>
      </c>
      <c r="N295" s="19" t="s">
        <v>998</v>
      </c>
      <c r="O295" s="12">
        <v>0</v>
      </c>
      <c r="P295" s="19" t="s">
        <v>998</v>
      </c>
      <c r="Q295" s="19" t="e">
        <f t="shared" si="16"/>
        <v>#VALUE!</v>
      </c>
      <c r="R295" s="15" t="e">
        <f t="shared" si="15"/>
        <v>#VALUE!</v>
      </c>
      <c r="S295" s="9" t="s">
        <v>1342</v>
      </c>
    </row>
  </sheetData>
  <mergeCells count="35">
    <mergeCell ref="J49:J52"/>
    <mergeCell ref="K13:K14"/>
    <mergeCell ref="K18:K19"/>
    <mergeCell ref="K21:K24"/>
    <mergeCell ref="K38:K39"/>
    <mergeCell ref="K48:K52"/>
    <mergeCell ref="K121:K124"/>
    <mergeCell ref="K55:K56"/>
    <mergeCell ref="K91:K95"/>
    <mergeCell ref="J98:J100"/>
    <mergeCell ref="K98:K100"/>
    <mergeCell ref="J101:J104"/>
    <mergeCell ref="K101:K104"/>
    <mergeCell ref="K105:K108"/>
    <mergeCell ref="K109:K112"/>
    <mergeCell ref="K113:K116"/>
    <mergeCell ref="J117:J120"/>
    <mergeCell ref="K117:K120"/>
    <mergeCell ref="K217:K221"/>
    <mergeCell ref="K125:K128"/>
    <mergeCell ref="K133:K135"/>
    <mergeCell ref="K146:K148"/>
    <mergeCell ref="K153:K160"/>
    <mergeCell ref="K161:K162"/>
    <mergeCell ref="K168:K170"/>
    <mergeCell ref="K172:K187"/>
    <mergeCell ref="K188:K195"/>
    <mergeCell ref="K196:K203"/>
    <mergeCell ref="K204:K211"/>
    <mergeCell ref="K213:K216"/>
    <mergeCell ref="K222:K224"/>
    <mergeCell ref="K225:K227"/>
    <mergeCell ref="K228:K232"/>
    <mergeCell ref="K233:K276"/>
    <mergeCell ref="K287:K28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5085F-B88D-4683-9D6C-86F0273C6B25}">
  <dimension ref="A1:F77"/>
  <sheetViews>
    <sheetView workbookViewId="0">
      <selection activeCell="E78" sqref="E78"/>
    </sheetView>
  </sheetViews>
  <sheetFormatPr baseColWidth="10" defaultRowHeight="15"/>
  <sheetData>
    <row r="1" spans="1:6">
      <c r="A1" s="152" t="s">
        <v>1343</v>
      </c>
      <c r="B1" s="153" t="s">
        <v>1345</v>
      </c>
      <c r="C1" s="154" t="s">
        <v>1357</v>
      </c>
      <c r="D1" s="152" t="s">
        <v>1362</v>
      </c>
      <c r="E1" s="153" t="s">
        <v>1364</v>
      </c>
      <c r="F1" s="153" t="s">
        <v>1357</v>
      </c>
    </row>
    <row r="2" spans="1:6">
      <c r="A2" s="152"/>
      <c r="B2" s="153"/>
      <c r="C2" s="155"/>
      <c r="D2" s="152"/>
      <c r="E2" s="153"/>
      <c r="F2" s="153"/>
    </row>
    <row r="3" spans="1:6" ht="30">
      <c r="A3" s="86">
        <v>5</v>
      </c>
      <c r="B3" s="8" t="s">
        <v>1346</v>
      </c>
      <c r="C3" s="8" t="s">
        <v>1358</v>
      </c>
      <c r="D3" s="87" t="s">
        <v>1363</v>
      </c>
      <c r="E3" s="88" t="s">
        <v>1365</v>
      </c>
      <c r="F3" s="88" t="s">
        <v>1369</v>
      </c>
    </row>
    <row r="4" spans="1:6">
      <c r="A4" s="86">
        <v>5</v>
      </c>
      <c r="B4" s="8" t="s">
        <v>1346</v>
      </c>
      <c r="C4" s="8" t="s">
        <v>1358</v>
      </c>
      <c r="D4" s="86"/>
      <c r="E4" s="8"/>
      <c r="F4" s="8"/>
    </row>
    <row r="5" spans="1:6">
      <c r="A5" s="86">
        <v>15</v>
      </c>
      <c r="B5" s="8" t="s">
        <v>1347</v>
      </c>
      <c r="C5" s="8"/>
      <c r="D5" s="86"/>
      <c r="E5" s="8"/>
      <c r="F5" s="8"/>
    </row>
    <row r="6" spans="1:6">
      <c r="A6" s="86">
        <v>5</v>
      </c>
      <c r="B6" s="8" t="s">
        <v>1346</v>
      </c>
      <c r="C6" s="8" t="s">
        <v>1358</v>
      </c>
      <c r="D6" s="86"/>
      <c r="E6" s="8"/>
      <c r="F6" s="8"/>
    </row>
    <row r="7" spans="1:6">
      <c r="A7" s="86">
        <v>5</v>
      </c>
      <c r="B7" s="8" t="s">
        <v>1346</v>
      </c>
      <c r="C7" s="8" t="s">
        <v>1358</v>
      </c>
      <c r="D7" s="86"/>
      <c r="E7" s="8"/>
      <c r="F7" s="8"/>
    </row>
    <row r="8" spans="1:6">
      <c r="A8" s="86">
        <v>5</v>
      </c>
      <c r="B8" s="8" t="s">
        <v>1346</v>
      </c>
      <c r="C8" s="8" t="s">
        <v>1358</v>
      </c>
      <c r="D8" s="86"/>
      <c r="E8" s="8"/>
      <c r="F8" s="8"/>
    </row>
    <row r="9" spans="1:6">
      <c r="A9" s="86">
        <v>5</v>
      </c>
      <c r="B9" s="8" t="s">
        <v>1346</v>
      </c>
      <c r="C9" s="8" t="s">
        <v>1358</v>
      </c>
      <c r="D9" s="86"/>
      <c r="E9" s="8"/>
      <c r="F9" s="8"/>
    </row>
    <row r="10" spans="1:6">
      <c r="A10" s="86">
        <v>5</v>
      </c>
      <c r="B10" s="8" t="s">
        <v>1346</v>
      </c>
      <c r="C10" s="8" t="s">
        <v>1358</v>
      </c>
      <c r="D10" s="86"/>
      <c r="E10" s="8"/>
      <c r="F10" s="8"/>
    </row>
    <row r="11" spans="1:6">
      <c r="A11" s="86">
        <v>15</v>
      </c>
      <c r="B11" s="8" t="s">
        <v>1347</v>
      </c>
      <c r="C11" s="8"/>
      <c r="D11" s="86"/>
      <c r="E11" s="8"/>
      <c r="F11" s="8"/>
    </row>
    <row r="12" spans="1:6" ht="30">
      <c r="A12" s="86"/>
      <c r="B12" s="8"/>
      <c r="C12" s="8"/>
      <c r="D12" s="87" t="s">
        <v>1363</v>
      </c>
      <c r="E12" s="88" t="s">
        <v>1365</v>
      </c>
      <c r="F12" s="88" t="s">
        <v>1369</v>
      </c>
    </row>
    <row r="13" spans="1:6">
      <c r="A13" s="86">
        <v>79</v>
      </c>
      <c r="B13" s="8" t="s">
        <v>1348</v>
      </c>
      <c r="C13" s="8" t="s">
        <v>1358</v>
      </c>
      <c r="D13" s="86"/>
      <c r="E13" s="8"/>
      <c r="F13" s="8"/>
    </row>
    <row r="14" spans="1:6">
      <c r="A14" s="86">
        <v>79</v>
      </c>
      <c r="B14" s="8" t="s">
        <v>1348</v>
      </c>
      <c r="C14" s="8" t="s">
        <v>1358</v>
      </c>
      <c r="D14" s="86"/>
      <c r="E14" s="8"/>
      <c r="F14" s="8"/>
    </row>
    <row r="15" spans="1:6">
      <c r="A15" s="86">
        <v>5</v>
      </c>
      <c r="B15" s="8" t="s">
        <v>1346</v>
      </c>
      <c r="C15" s="8" t="s">
        <v>1358</v>
      </c>
      <c r="D15" s="86">
        <v>1</v>
      </c>
      <c r="E15" s="8" t="s">
        <v>1366</v>
      </c>
      <c r="F15" s="8" t="s">
        <v>1360</v>
      </c>
    </row>
    <row r="16" spans="1:6">
      <c r="A16" s="86">
        <v>5</v>
      </c>
      <c r="B16" s="8" t="s">
        <v>1346</v>
      </c>
      <c r="C16" s="8" t="s">
        <v>1358</v>
      </c>
      <c r="D16" s="86">
        <v>1</v>
      </c>
      <c r="E16" s="8" t="s">
        <v>1366</v>
      </c>
      <c r="F16" s="8" t="s">
        <v>1360</v>
      </c>
    </row>
    <row r="17" spans="1:6">
      <c r="A17" s="86">
        <v>131</v>
      </c>
      <c r="B17" s="8" t="s">
        <v>1349</v>
      </c>
      <c r="C17" s="8" t="s">
        <v>1358</v>
      </c>
      <c r="D17" s="86"/>
      <c r="E17" s="8"/>
      <c r="F17" s="8"/>
    </row>
    <row r="18" spans="1:6">
      <c r="A18" s="86">
        <v>131</v>
      </c>
      <c r="B18" s="8" t="s">
        <v>1349</v>
      </c>
      <c r="C18" s="8" t="s">
        <v>1358</v>
      </c>
      <c r="D18" s="86"/>
      <c r="E18" s="8"/>
      <c r="F18" s="8"/>
    </row>
    <row r="19" spans="1:6">
      <c r="A19" s="86">
        <v>131</v>
      </c>
      <c r="B19" s="8" t="s">
        <v>1349</v>
      </c>
      <c r="C19" s="8" t="s">
        <v>1358</v>
      </c>
      <c r="D19" s="86"/>
      <c r="E19" s="8"/>
      <c r="F19" s="8"/>
    </row>
    <row r="20" spans="1:6">
      <c r="A20" s="86">
        <v>83</v>
      </c>
      <c r="B20" s="8" t="s">
        <v>1350</v>
      </c>
      <c r="C20" s="8" t="s">
        <v>1358</v>
      </c>
      <c r="D20" s="86"/>
      <c r="E20" s="8"/>
      <c r="F20" s="8"/>
    </row>
    <row r="21" spans="1:6">
      <c r="A21" s="86">
        <v>83</v>
      </c>
      <c r="B21" s="8" t="s">
        <v>1350</v>
      </c>
      <c r="C21" s="8" t="s">
        <v>1358</v>
      </c>
      <c r="D21" s="86"/>
      <c r="E21" s="8"/>
      <c r="F21" s="8"/>
    </row>
    <row r="22" spans="1:6">
      <c r="A22" s="86">
        <v>83</v>
      </c>
      <c r="B22" s="8" t="s">
        <v>1350</v>
      </c>
      <c r="C22" s="8" t="s">
        <v>1358</v>
      </c>
      <c r="D22" s="86"/>
      <c r="E22" s="8"/>
      <c r="F22" s="8"/>
    </row>
    <row r="23" spans="1:6">
      <c r="A23" s="86">
        <v>83</v>
      </c>
      <c r="B23" s="8" t="s">
        <v>1350</v>
      </c>
      <c r="C23" s="8" t="s">
        <v>1358</v>
      </c>
      <c r="D23" s="86"/>
      <c r="E23" s="8"/>
      <c r="F23" s="8"/>
    </row>
    <row r="24" spans="1:6">
      <c r="A24" s="86">
        <v>83</v>
      </c>
      <c r="B24" s="8" t="s">
        <v>1350</v>
      </c>
      <c r="C24" s="8" t="s">
        <v>1358</v>
      </c>
      <c r="D24" s="86"/>
      <c r="E24" s="8"/>
      <c r="F24" s="8"/>
    </row>
    <row r="25" spans="1:6">
      <c r="A25" s="86">
        <v>131</v>
      </c>
      <c r="B25" s="8" t="s">
        <v>1349</v>
      </c>
      <c r="C25" s="8" t="s">
        <v>1358</v>
      </c>
      <c r="D25" s="86"/>
      <c r="E25" s="8"/>
      <c r="F25" s="8"/>
    </row>
    <row r="26" spans="1:6">
      <c r="A26" s="86">
        <v>14</v>
      </c>
      <c r="B26" s="8" t="s">
        <v>1351</v>
      </c>
      <c r="C26" s="8" t="s">
        <v>1358</v>
      </c>
      <c r="D26" s="86"/>
      <c r="E26" s="8"/>
      <c r="F26" s="8"/>
    </row>
    <row r="27" spans="1:6">
      <c r="A27" s="86">
        <v>14</v>
      </c>
      <c r="B27" s="8" t="s">
        <v>1351</v>
      </c>
      <c r="C27" s="8" t="s">
        <v>1358</v>
      </c>
      <c r="D27" s="86"/>
      <c r="E27" s="8"/>
      <c r="F27" s="8"/>
    </row>
    <row r="28" spans="1:6">
      <c r="A28" s="86">
        <v>14</v>
      </c>
      <c r="B28" s="8" t="s">
        <v>1351</v>
      </c>
      <c r="C28" s="8" t="s">
        <v>1358</v>
      </c>
      <c r="D28" s="86"/>
      <c r="E28" s="8"/>
      <c r="F28" s="8"/>
    </row>
    <row r="29" spans="1:6">
      <c r="A29" s="86">
        <v>14</v>
      </c>
      <c r="B29" s="8" t="s">
        <v>1351</v>
      </c>
      <c r="C29" s="8" t="s">
        <v>1358</v>
      </c>
      <c r="D29" s="86"/>
      <c r="E29" s="8"/>
      <c r="F29" s="8"/>
    </row>
    <row r="30" spans="1:6">
      <c r="A30" s="86">
        <v>14</v>
      </c>
      <c r="B30" s="8" t="s">
        <v>1351</v>
      </c>
      <c r="C30" s="8" t="s">
        <v>1358</v>
      </c>
      <c r="D30" s="86"/>
      <c r="E30" s="8"/>
      <c r="F30" s="8"/>
    </row>
    <row r="31" spans="1:6">
      <c r="A31" s="86">
        <v>14</v>
      </c>
      <c r="B31" s="8" t="s">
        <v>1351</v>
      </c>
      <c r="C31" s="8" t="s">
        <v>1358</v>
      </c>
      <c r="D31" s="86"/>
      <c r="E31" s="8"/>
      <c r="F31" s="8"/>
    </row>
    <row r="32" spans="1:6">
      <c r="A32" s="86">
        <v>14</v>
      </c>
      <c r="B32" s="8" t="s">
        <v>1351</v>
      </c>
      <c r="C32" s="8" t="s">
        <v>1358</v>
      </c>
      <c r="D32" s="86"/>
      <c r="E32" s="8"/>
      <c r="F32" s="8"/>
    </row>
    <row r="33" spans="1:6">
      <c r="A33" s="86">
        <v>14</v>
      </c>
      <c r="B33" s="8" t="s">
        <v>1351</v>
      </c>
      <c r="C33" s="8" t="s">
        <v>1358</v>
      </c>
      <c r="D33" s="86"/>
      <c r="E33" s="8"/>
      <c r="F33" s="8"/>
    </row>
    <row r="34" spans="1:6">
      <c r="A34" s="86">
        <v>14</v>
      </c>
      <c r="B34" s="8" t="s">
        <v>1351</v>
      </c>
      <c r="C34" s="8" t="s">
        <v>1358</v>
      </c>
      <c r="D34" s="86"/>
      <c r="E34" s="8"/>
      <c r="F34" s="8"/>
    </row>
    <row r="35" spans="1:6">
      <c r="A35" s="86">
        <v>14</v>
      </c>
      <c r="B35" s="8" t="s">
        <v>1351</v>
      </c>
      <c r="C35" s="8" t="s">
        <v>1358</v>
      </c>
      <c r="D35" s="86"/>
      <c r="E35" s="8"/>
      <c r="F35" s="8"/>
    </row>
    <row r="36" spans="1:6">
      <c r="A36" s="86">
        <v>79</v>
      </c>
      <c r="B36" s="8" t="s">
        <v>1348</v>
      </c>
      <c r="C36" s="8" t="s">
        <v>1358</v>
      </c>
      <c r="D36" s="86"/>
      <c r="E36" s="8"/>
      <c r="F36" s="8"/>
    </row>
    <row r="37" spans="1:6">
      <c r="A37" s="86">
        <v>79</v>
      </c>
      <c r="B37" s="8" t="s">
        <v>1348</v>
      </c>
      <c r="C37" s="8" t="s">
        <v>1358</v>
      </c>
      <c r="D37" s="86"/>
      <c r="E37" s="8"/>
      <c r="F37" s="8"/>
    </row>
    <row r="38" spans="1:6">
      <c r="A38" s="86">
        <v>79</v>
      </c>
      <c r="B38" s="8" t="s">
        <v>1348</v>
      </c>
      <c r="C38" s="8" t="s">
        <v>1358</v>
      </c>
      <c r="D38" s="86"/>
      <c r="E38" s="8"/>
      <c r="F38" s="8"/>
    </row>
    <row r="39" spans="1:6">
      <c r="A39" s="86">
        <v>5</v>
      </c>
      <c r="B39" s="8" t="s">
        <v>1346</v>
      </c>
      <c r="C39" s="8" t="s">
        <v>1358</v>
      </c>
      <c r="D39" s="86"/>
      <c r="E39" s="8"/>
      <c r="F39" s="8"/>
    </row>
    <row r="40" spans="1:6">
      <c r="A40" s="86">
        <v>5</v>
      </c>
      <c r="B40" s="8" t="s">
        <v>1346</v>
      </c>
      <c r="C40" s="8" t="s">
        <v>1358</v>
      </c>
      <c r="D40" s="86"/>
      <c r="E40" s="8"/>
      <c r="F40" s="8"/>
    </row>
    <row r="41" spans="1:6">
      <c r="A41" s="86">
        <v>5</v>
      </c>
      <c r="B41" s="8" t="s">
        <v>1346</v>
      </c>
      <c r="C41" s="8" t="s">
        <v>1358</v>
      </c>
      <c r="D41" s="86"/>
      <c r="E41" s="8"/>
      <c r="F41" s="8"/>
    </row>
    <row r="42" spans="1:6">
      <c r="A42" s="86">
        <v>119</v>
      </c>
      <c r="B42" s="8" t="s">
        <v>1352</v>
      </c>
      <c r="C42" s="8" t="s">
        <v>1359</v>
      </c>
      <c r="D42" s="86"/>
      <c r="E42" s="8"/>
      <c r="F42" s="8"/>
    </row>
    <row r="43" spans="1:6">
      <c r="A43" s="86">
        <v>119</v>
      </c>
      <c r="B43" s="8" t="s">
        <v>1352</v>
      </c>
      <c r="C43" s="8" t="s">
        <v>1359</v>
      </c>
      <c r="D43" s="86"/>
      <c r="E43" s="8"/>
      <c r="F43" s="8"/>
    </row>
    <row r="44" spans="1:6">
      <c r="A44" s="86">
        <v>119</v>
      </c>
      <c r="B44" s="8" t="s">
        <v>1353</v>
      </c>
      <c r="C44" s="8" t="s">
        <v>1359</v>
      </c>
      <c r="D44" s="86"/>
      <c r="E44" s="8"/>
      <c r="F44" s="8"/>
    </row>
    <row r="45" spans="1:6">
      <c r="A45" s="86">
        <v>119</v>
      </c>
      <c r="B45" s="8" t="s">
        <v>1354</v>
      </c>
      <c r="C45" s="8" t="s">
        <v>1359</v>
      </c>
      <c r="D45" s="86"/>
      <c r="E45" s="8"/>
      <c r="F45" s="8"/>
    </row>
    <row r="46" spans="1:6">
      <c r="A46" s="86">
        <v>119</v>
      </c>
      <c r="B46" s="8" t="s">
        <v>1352</v>
      </c>
      <c r="C46" s="8" t="s">
        <v>1359</v>
      </c>
      <c r="D46" s="86"/>
      <c r="E46" s="8"/>
      <c r="F46" s="8"/>
    </row>
    <row r="47" spans="1:6">
      <c r="A47" s="86">
        <v>119</v>
      </c>
      <c r="B47" s="8" t="s">
        <v>1352</v>
      </c>
      <c r="C47" s="8" t="s">
        <v>1359</v>
      </c>
      <c r="D47" s="86"/>
      <c r="E47" s="8"/>
      <c r="F47" s="8"/>
    </row>
    <row r="48" spans="1:6">
      <c r="A48" s="86">
        <v>119</v>
      </c>
      <c r="B48" s="8" t="s">
        <v>1352</v>
      </c>
      <c r="C48" s="8" t="s">
        <v>1359</v>
      </c>
      <c r="D48" s="86"/>
      <c r="E48" s="8"/>
      <c r="F48" s="8"/>
    </row>
    <row r="49" spans="1:6">
      <c r="A49" s="86">
        <v>119</v>
      </c>
      <c r="B49" s="8" t="s">
        <v>1352</v>
      </c>
      <c r="C49" s="8" t="s">
        <v>1359</v>
      </c>
      <c r="D49" s="86"/>
      <c r="E49" s="8"/>
      <c r="F49" s="8"/>
    </row>
    <row r="50" spans="1:6">
      <c r="A50" s="86">
        <v>119</v>
      </c>
      <c r="B50" s="8" t="s">
        <v>1352</v>
      </c>
      <c r="C50" s="8" t="s">
        <v>1359</v>
      </c>
      <c r="D50" s="86"/>
      <c r="E50" s="8"/>
      <c r="F50" s="8"/>
    </row>
    <row r="51" spans="1:6">
      <c r="A51" s="86">
        <v>119</v>
      </c>
      <c r="B51" s="8" t="s">
        <v>1352</v>
      </c>
      <c r="C51" s="8" t="s">
        <v>1359</v>
      </c>
      <c r="D51" s="86"/>
      <c r="E51" s="8"/>
      <c r="F51" s="8"/>
    </row>
    <row r="52" spans="1:6">
      <c r="A52" s="86">
        <v>119</v>
      </c>
      <c r="B52" s="8" t="s">
        <v>1352</v>
      </c>
      <c r="C52" s="8" t="s">
        <v>1359</v>
      </c>
      <c r="D52" s="86"/>
      <c r="E52" s="8"/>
      <c r="F52" s="8"/>
    </row>
    <row r="53" spans="1:6">
      <c r="A53" s="86">
        <v>119</v>
      </c>
      <c r="B53" s="8" t="s">
        <v>1352</v>
      </c>
      <c r="C53" s="8" t="s">
        <v>1359</v>
      </c>
      <c r="D53" s="86"/>
      <c r="E53" s="8"/>
      <c r="F53" s="8"/>
    </row>
    <row r="54" spans="1:6">
      <c r="A54" s="86">
        <v>119</v>
      </c>
      <c r="B54" s="8" t="s">
        <v>1352</v>
      </c>
      <c r="C54" s="8" t="s">
        <v>1359</v>
      </c>
      <c r="D54" s="86"/>
      <c r="E54" s="8"/>
      <c r="F54" s="8"/>
    </row>
    <row r="55" spans="1:6">
      <c r="A55" s="86">
        <v>119</v>
      </c>
      <c r="B55" s="8" t="s">
        <v>1352</v>
      </c>
      <c r="C55" s="8" t="s">
        <v>1359</v>
      </c>
      <c r="D55" s="86"/>
      <c r="E55" s="8"/>
      <c r="F55" s="8"/>
    </row>
    <row r="56" spans="1:6">
      <c r="A56" s="86">
        <v>119</v>
      </c>
      <c r="B56" s="8" t="s">
        <v>1352</v>
      </c>
      <c r="C56" s="8" t="s">
        <v>1359</v>
      </c>
      <c r="D56" s="86"/>
      <c r="E56" s="8"/>
      <c r="F56" s="8"/>
    </row>
    <row r="57" spans="1:6">
      <c r="A57" s="86">
        <v>119</v>
      </c>
      <c r="B57" s="8" t="s">
        <v>1352</v>
      </c>
      <c r="C57" s="8" t="s">
        <v>1359</v>
      </c>
      <c r="D57" s="86"/>
      <c r="E57" s="8"/>
      <c r="F57" s="8"/>
    </row>
    <row r="58" spans="1:6">
      <c r="A58" s="86">
        <v>119</v>
      </c>
      <c r="B58" s="8" t="s">
        <v>1352</v>
      </c>
      <c r="C58" s="8" t="s">
        <v>1359</v>
      </c>
      <c r="D58" s="86"/>
      <c r="E58" s="8"/>
      <c r="F58" s="8"/>
    </row>
    <row r="59" spans="1:6">
      <c r="A59" s="86">
        <v>119</v>
      </c>
      <c r="B59" s="8" t="s">
        <v>1352</v>
      </c>
      <c r="C59" s="8" t="s">
        <v>1359</v>
      </c>
      <c r="D59" s="86"/>
      <c r="E59" s="8"/>
      <c r="F59" s="8"/>
    </row>
    <row r="60" spans="1:6">
      <c r="A60" s="86">
        <v>119</v>
      </c>
      <c r="B60" s="8" t="s">
        <v>1352</v>
      </c>
      <c r="C60" s="8" t="s">
        <v>1359</v>
      </c>
      <c r="D60" s="86"/>
      <c r="E60" s="8"/>
      <c r="F60" s="8"/>
    </row>
    <row r="61" spans="1:6">
      <c r="A61" s="86">
        <v>119</v>
      </c>
      <c r="B61" s="8" t="s">
        <v>1352</v>
      </c>
      <c r="C61" s="8" t="s">
        <v>1359</v>
      </c>
      <c r="D61" s="86"/>
      <c r="E61" s="8"/>
      <c r="F61" s="8"/>
    </row>
    <row r="62" spans="1:6">
      <c r="A62" s="86">
        <v>119</v>
      </c>
      <c r="B62" s="8" t="s">
        <v>1352</v>
      </c>
      <c r="C62" s="8" t="s">
        <v>1359</v>
      </c>
      <c r="D62" s="86"/>
      <c r="E62" s="8"/>
      <c r="F62" s="8"/>
    </row>
    <row r="63" spans="1:6">
      <c r="A63" s="86">
        <v>119</v>
      </c>
      <c r="B63" s="8" t="s">
        <v>1352</v>
      </c>
      <c r="C63" s="8" t="s">
        <v>1359</v>
      </c>
      <c r="D63" s="86"/>
      <c r="E63" s="8"/>
      <c r="F63" s="8"/>
    </row>
    <row r="64" spans="1:6">
      <c r="A64" s="86">
        <v>119</v>
      </c>
      <c r="B64" s="8" t="s">
        <v>1352</v>
      </c>
      <c r="C64" s="8" t="s">
        <v>1359</v>
      </c>
      <c r="D64" s="86"/>
      <c r="E64" s="8"/>
      <c r="F64" s="8"/>
    </row>
    <row r="65" spans="1:6">
      <c r="A65" s="86">
        <v>119</v>
      </c>
      <c r="B65" s="8" t="s">
        <v>1354</v>
      </c>
      <c r="C65" s="8" t="s">
        <v>1359</v>
      </c>
      <c r="D65" s="86"/>
      <c r="E65" s="8"/>
      <c r="F65" s="8"/>
    </row>
    <row r="66" spans="1:6">
      <c r="A66" s="86">
        <v>119</v>
      </c>
      <c r="B66" s="8" t="s">
        <v>1352</v>
      </c>
      <c r="C66" s="8" t="s">
        <v>1359</v>
      </c>
      <c r="D66" s="86"/>
      <c r="E66" s="8"/>
      <c r="F66" s="8"/>
    </row>
    <row r="67" spans="1:6">
      <c r="A67" s="86">
        <v>119</v>
      </c>
      <c r="B67" s="8" t="s">
        <v>1352</v>
      </c>
      <c r="C67" s="8" t="s">
        <v>1359</v>
      </c>
      <c r="D67" s="86"/>
      <c r="E67" s="8"/>
      <c r="F67" s="8"/>
    </row>
    <row r="68" spans="1:6">
      <c r="A68" s="86">
        <v>119</v>
      </c>
      <c r="B68" s="8" t="s">
        <v>1352</v>
      </c>
      <c r="C68" s="8" t="s">
        <v>1359</v>
      </c>
      <c r="D68" s="86"/>
      <c r="E68" s="8"/>
      <c r="F68" s="8"/>
    </row>
    <row r="69" spans="1:6">
      <c r="A69" s="86">
        <v>119</v>
      </c>
      <c r="B69" s="8" t="s">
        <v>1352</v>
      </c>
      <c r="C69" s="8" t="s">
        <v>1359</v>
      </c>
      <c r="D69" s="86"/>
      <c r="E69" s="8"/>
      <c r="F69" s="8"/>
    </row>
    <row r="70" spans="1:6">
      <c r="A70" s="86">
        <v>119</v>
      </c>
      <c r="B70" s="8" t="s">
        <v>1352</v>
      </c>
      <c r="C70" s="8" t="s">
        <v>1359</v>
      </c>
      <c r="D70" s="86"/>
      <c r="E70" s="8"/>
      <c r="F70" s="8"/>
    </row>
    <row r="71" spans="1:6">
      <c r="A71" s="86">
        <v>119</v>
      </c>
      <c r="B71" s="8" t="s">
        <v>1352</v>
      </c>
      <c r="C71" s="8" t="s">
        <v>1359</v>
      </c>
      <c r="D71" s="86"/>
      <c r="E71" s="8"/>
      <c r="F71" s="8"/>
    </row>
    <row r="72" spans="1:6">
      <c r="A72" s="86">
        <v>119</v>
      </c>
      <c r="B72" s="8" t="s">
        <v>1352</v>
      </c>
      <c r="C72" s="8" t="s">
        <v>1359</v>
      </c>
      <c r="D72" s="86"/>
      <c r="E72" s="8"/>
      <c r="F72" s="8"/>
    </row>
    <row r="73" spans="1:6">
      <c r="A73" s="86">
        <v>119</v>
      </c>
      <c r="B73" s="8" t="s">
        <v>1352</v>
      </c>
      <c r="C73" s="8" t="s">
        <v>1359</v>
      </c>
      <c r="D73" s="86"/>
      <c r="E73" s="8"/>
      <c r="F73" s="8"/>
    </row>
    <row r="74" spans="1:6">
      <c r="A74" s="86">
        <v>117</v>
      </c>
      <c r="B74" s="8" t="s">
        <v>1355</v>
      </c>
      <c r="C74" s="8" t="s">
        <v>1359</v>
      </c>
      <c r="D74" s="86">
        <v>118</v>
      </c>
      <c r="E74" s="8" t="s">
        <v>1367</v>
      </c>
      <c r="F74" s="8" t="s">
        <v>1360</v>
      </c>
    </row>
    <row r="75" spans="1:6">
      <c r="A75" s="86"/>
      <c r="B75" s="8"/>
      <c r="C75" s="8"/>
      <c r="D75" s="86">
        <v>118</v>
      </c>
      <c r="E75" s="8" t="s">
        <v>1367</v>
      </c>
      <c r="F75" s="8" t="s">
        <v>1360</v>
      </c>
    </row>
    <row r="76" spans="1:6">
      <c r="A76" s="147" t="s">
        <v>1344</v>
      </c>
      <c r="B76" s="149" t="s">
        <v>1356</v>
      </c>
      <c r="C76" s="87" t="s">
        <v>1360</v>
      </c>
      <c r="D76" s="148">
        <v>95</v>
      </c>
      <c r="E76" s="151" t="s">
        <v>1368</v>
      </c>
      <c r="F76" s="151" t="s">
        <v>1370</v>
      </c>
    </row>
    <row r="77" spans="1:6">
      <c r="A77" s="148"/>
      <c r="B77" s="150"/>
      <c r="C77" s="86" t="s">
        <v>1361</v>
      </c>
      <c r="D77" s="148"/>
      <c r="E77" s="151"/>
      <c r="F77" s="151"/>
    </row>
  </sheetData>
  <mergeCells count="11">
    <mergeCell ref="F1:F2"/>
    <mergeCell ref="A1:A2"/>
    <mergeCell ref="B1:B2"/>
    <mergeCell ref="C1:C2"/>
    <mergeCell ref="D1:D2"/>
    <mergeCell ref="E1:E2"/>
    <mergeCell ref="A76:A77"/>
    <mergeCell ref="B76:B77"/>
    <mergeCell ref="D76:D77"/>
    <mergeCell ref="E76:E77"/>
    <mergeCell ref="F76:F7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84E2B-D214-4736-A1DD-2C40F07116CE}">
  <dimension ref="A1:B1123"/>
  <sheetViews>
    <sheetView workbookViewId="0">
      <selection activeCell="B1" sqref="B1"/>
    </sheetView>
  </sheetViews>
  <sheetFormatPr baseColWidth="10" defaultRowHeight="15"/>
  <cols>
    <col min="1" max="1" width="12" bestFit="1" customWidth="1"/>
    <col min="2" max="2" width="12.85546875" bestFit="1" customWidth="1"/>
  </cols>
  <sheetData>
    <row r="1" spans="1:2">
      <c r="A1" s="89" t="s">
        <v>1371</v>
      </c>
      <c r="B1" s="90" t="s">
        <v>1372</v>
      </c>
    </row>
    <row r="2" spans="1:2">
      <c r="A2" s="91" t="s">
        <v>1373</v>
      </c>
      <c r="B2" s="92" t="s">
        <v>1374</v>
      </c>
    </row>
    <row r="3" spans="1:2">
      <c r="A3" s="93" t="s">
        <v>1375</v>
      </c>
      <c r="B3" s="94" t="s">
        <v>1376</v>
      </c>
    </row>
    <row r="4" spans="1:2">
      <c r="A4" s="95" t="s">
        <v>1377</v>
      </c>
      <c r="B4" s="96" t="s">
        <v>1378</v>
      </c>
    </row>
    <row r="5" spans="1:2">
      <c r="A5" s="93" t="s">
        <v>1379</v>
      </c>
      <c r="B5" s="94" t="s">
        <v>1380</v>
      </c>
    </row>
    <row r="6" spans="1:2">
      <c r="A6" s="95" t="s">
        <v>1381</v>
      </c>
      <c r="B6" s="96" t="s">
        <v>1382</v>
      </c>
    </row>
    <row r="7" spans="1:2">
      <c r="A7" s="93" t="s">
        <v>1383</v>
      </c>
      <c r="B7" s="94" t="s">
        <v>1384</v>
      </c>
    </row>
    <row r="8" spans="1:2">
      <c r="A8" s="95" t="s">
        <v>1385</v>
      </c>
      <c r="B8" s="96" t="s">
        <v>1386</v>
      </c>
    </row>
    <row r="9" spans="1:2" ht="24">
      <c r="A9" s="93" t="s">
        <v>1387</v>
      </c>
      <c r="B9" s="94" t="s">
        <v>1388</v>
      </c>
    </row>
    <row r="10" spans="1:2" ht="24">
      <c r="A10" s="95" t="s">
        <v>1389</v>
      </c>
      <c r="B10" s="96" t="s">
        <v>1390</v>
      </c>
    </row>
    <row r="11" spans="1:2">
      <c r="A11" s="93" t="s">
        <v>1391</v>
      </c>
      <c r="B11" s="94" t="s">
        <v>1392</v>
      </c>
    </row>
    <row r="12" spans="1:2" ht="36">
      <c r="A12" s="95" t="s">
        <v>1393</v>
      </c>
      <c r="B12" s="96" t="s">
        <v>1394</v>
      </c>
    </row>
    <row r="13" spans="1:2">
      <c r="A13" s="93" t="s">
        <v>1395</v>
      </c>
      <c r="B13" s="94" t="s">
        <v>1396</v>
      </c>
    </row>
    <row r="14" spans="1:2">
      <c r="A14" s="95" t="s">
        <v>1397</v>
      </c>
      <c r="B14" s="96" t="s">
        <v>1398</v>
      </c>
    </row>
    <row r="15" spans="1:2">
      <c r="A15" s="93" t="s">
        <v>1399</v>
      </c>
      <c r="B15" s="94" t="s">
        <v>1400</v>
      </c>
    </row>
    <row r="16" spans="1:2">
      <c r="A16" s="95" t="s">
        <v>1401</v>
      </c>
      <c r="B16" s="96" t="s">
        <v>1402</v>
      </c>
    </row>
    <row r="17" spans="1:2">
      <c r="A17" s="93" t="s">
        <v>1403</v>
      </c>
      <c r="B17" s="94" t="s">
        <v>1404</v>
      </c>
    </row>
    <row r="18" spans="1:2">
      <c r="A18" s="95" t="s">
        <v>1405</v>
      </c>
      <c r="B18" s="96" t="s">
        <v>1406</v>
      </c>
    </row>
    <row r="19" spans="1:2">
      <c r="A19" s="93" t="s">
        <v>1407</v>
      </c>
      <c r="B19" s="94" t="s">
        <v>1408</v>
      </c>
    </row>
    <row r="20" spans="1:2">
      <c r="A20" s="95" t="s">
        <v>1409</v>
      </c>
      <c r="B20" s="96" t="s">
        <v>1410</v>
      </c>
    </row>
    <row r="21" spans="1:2">
      <c r="A21" s="93" t="s">
        <v>1411</v>
      </c>
      <c r="B21" s="94" t="s">
        <v>1412</v>
      </c>
    </row>
    <row r="22" spans="1:2">
      <c r="A22" s="95" t="s">
        <v>1413</v>
      </c>
      <c r="B22" s="96" t="s">
        <v>1414</v>
      </c>
    </row>
    <row r="23" spans="1:2" ht="24">
      <c r="A23" s="93" t="s">
        <v>1415</v>
      </c>
      <c r="B23" s="94" t="s">
        <v>1416</v>
      </c>
    </row>
    <row r="24" spans="1:2">
      <c r="A24" s="95" t="s">
        <v>1417</v>
      </c>
      <c r="B24" s="96" t="s">
        <v>1418</v>
      </c>
    </row>
    <row r="25" spans="1:2">
      <c r="A25" s="93" t="s">
        <v>1419</v>
      </c>
      <c r="B25" s="94" t="s">
        <v>1420</v>
      </c>
    </row>
    <row r="26" spans="1:2">
      <c r="A26" s="95" t="s">
        <v>1421</v>
      </c>
      <c r="B26" s="96" t="s">
        <v>1422</v>
      </c>
    </row>
    <row r="27" spans="1:2">
      <c r="A27" s="93" t="s">
        <v>1423</v>
      </c>
      <c r="B27" s="94" t="s">
        <v>1424</v>
      </c>
    </row>
    <row r="28" spans="1:2">
      <c r="A28" s="95" t="s">
        <v>1425</v>
      </c>
      <c r="B28" s="96" t="s">
        <v>1426</v>
      </c>
    </row>
    <row r="29" spans="1:2" ht="24">
      <c r="A29" s="93" t="s">
        <v>1427</v>
      </c>
      <c r="B29" s="94" t="s">
        <v>1428</v>
      </c>
    </row>
    <row r="30" spans="1:2" ht="24">
      <c r="A30" s="95" t="s">
        <v>1429</v>
      </c>
      <c r="B30" s="96" t="s">
        <v>1430</v>
      </c>
    </row>
    <row r="31" spans="1:2">
      <c r="A31" s="93" t="s">
        <v>1431</v>
      </c>
      <c r="B31" s="94" t="s">
        <v>1432</v>
      </c>
    </row>
    <row r="32" spans="1:2">
      <c r="A32" s="95" t="s">
        <v>1433</v>
      </c>
      <c r="B32" s="96" t="s">
        <v>1434</v>
      </c>
    </row>
    <row r="33" spans="1:2">
      <c r="A33" s="93" t="s">
        <v>1435</v>
      </c>
      <c r="B33" s="94" t="s">
        <v>1436</v>
      </c>
    </row>
    <row r="34" spans="1:2" ht="24">
      <c r="A34" s="95" t="s">
        <v>1437</v>
      </c>
      <c r="B34" s="96" t="s">
        <v>1438</v>
      </c>
    </row>
    <row r="35" spans="1:2">
      <c r="A35" s="93" t="s">
        <v>1439</v>
      </c>
      <c r="B35" s="94" t="s">
        <v>1440</v>
      </c>
    </row>
    <row r="36" spans="1:2">
      <c r="A36" s="95" t="s">
        <v>1441</v>
      </c>
      <c r="B36" s="96" t="s">
        <v>1442</v>
      </c>
    </row>
    <row r="37" spans="1:2" ht="24">
      <c r="A37" s="93" t="s">
        <v>1443</v>
      </c>
      <c r="B37" s="94" t="s">
        <v>1444</v>
      </c>
    </row>
    <row r="38" spans="1:2">
      <c r="A38" s="95" t="s">
        <v>1445</v>
      </c>
      <c r="B38" s="96" t="s">
        <v>1446</v>
      </c>
    </row>
    <row r="39" spans="1:2">
      <c r="A39" s="93" t="s">
        <v>1447</v>
      </c>
      <c r="B39" s="94" t="s">
        <v>1448</v>
      </c>
    </row>
    <row r="40" spans="1:2" ht="24">
      <c r="A40" s="95" t="s">
        <v>1449</v>
      </c>
      <c r="B40" s="96" t="s">
        <v>1450</v>
      </c>
    </row>
    <row r="41" spans="1:2">
      <c r="A41" s="93" t="s">
        <v>1451</v>
      </c>
      <c r="B41" s="94" t="s">
        <v>1452</v>
      </c>
    </row>
    <row r="42" spans="1:2" ht="24">
      <c r="A42" s="95" t="s">
        <v>1453</v>
      </c>
      <c r="B42" s="96" t="s">
        <v>1454</v>
      </c>
    </row>
    <row r="43" spans="1:2">
      <c r="A43" s="93" t="s">
        <v>1455</v>
      </c>
      <c r="B43" s="94" t="s">
        <v>1456</v>
      </c>
    </row>
    <row r="44" spans="1:2">
      <c r="A44" s="95" t="s">
        <v>1457</v>
      </c>
      <c r="B44" s="96" t="s">
        <v>1458</v>
      </c>
    </row>
    <row r="45" spans="1:2">
      <c r="A45" s="93" t="s">
        <v>1459</v>
      </c>
      <c r="B45" s="94" t="s">
        <v>1460</v>
      </c>
    </row>
    <row r="46" spans="1:2">
      <c r="A46" s="95" t="s">
        <v>1461</v>
      </c>
      <c r="B46" s="96" t="s">
        <v>1462</v>
      </c>
    </row>
    <row r="47" spans="1:2" ht="24">
      <c r="A47" s="93" t="s">
        <v>1463</v>
      </c>
      <c r="B47" s="94" t="s">
        <v>1464</v>
      </c>
    </row>
    <row r="48" spans="1:2">
      <c r="A48" s="95" t="s">
        <v>1465</v>
      </c>
      <c r="B48" s="96" t="s">
        <v>1466</v>
      </c>
    </row>
    <row r="49" spans="1:2">
      <c r="A49" s="93" t="s">
        <v>1467</v>
      </c>
      <c r="B49" s="94" t="s">
        <v>1468</v>
      </c>
    </row>
    <row r="50" spans="1:2">
      <c r="A50" s="95" t="s">
        <v>1469</v>
      </c>
      <c r="B50" s="96" t="s">
        <v>1470</v>
      </c>
    </row>
    <row r="51" spans="1:2">
      <c r="A51" s="93" t="s">
        <v>1471</v>
      </c>
      <c r="B51" s="94" t="s">
        <v>1472</v>
      </c>
    </row>
    <row r="52" spans="1:2">
      <c r="A52" s="95" t="s">
        <v>1473</v>
      </c>
      <c r="B52" s="96" t="s">
        <v>1474</v>
      </c>
    </row>
    <row r="53" spans="1:2" ht="24">
      <c r="A53" s="93" t="s">
        <v>1475</v>
      </c>
      <c r="B53" s="94" t="s">
        <v>1476</v>
      </c>
    </row>
    <row r="54" spans="1:2">
      <c r="A54" s="95" t="s">
        <v>1477</v>
      </c>
      <c r="B54" s="96" t="s">
        <v>1478</v>
      </c>
    </row>
    <row r="55" spans="1:2">
      <c r="A55" s="93" t="s">
        <v>1479</v>
      </c>
      <c r="B55" s="94" t="s">
        <v>1480</v>
      </c>
    </row>
    <row r="56" spans="1:2">
      <c r="A56" s="95" t="s">
        <v>1481</v>
      </c>
      <c r="B56" s="96" t="s">
        <v>1482</v>
      </c>
    </row>
    <row r="57" spans="1:2">
      <c r="A57" s="93" t="s">
        <v>1483</v>
      </c>
      <c r="B57" s="94" t="s">
        <v>1484</v>
      </c>
    </row>
    <row r="58" spans="1:2">
      <c r="A58" s="95" t="s">
        <v>1485</v>
      </c>
      <c r="B58" s="96" t="s">
        <v>1486</v>
      </c>
    </row>
    <row r="59" spans="1:2">
      <c r="A59" s="93" t="s">
        <v>1487</v>
      </c>
      <c r="B59" s="94" t="s">
        <v>1488</v>
      </c>
    </row>
    <row r="60" spans="1:2">
      <c r="A60" s="95" t="s">
        <v>1489</v>
      </c>
      <c r="B60" s="96" t="s">
        <v>1490</v>
      </c>
    </row>
    <row r="61" spans="1:2">
      <c r="A61" s="93" t="s">
        <v>1491</v>
      </c>
      <c r="B61" s="94" t="s">
        <v>1492</v>
      </c>
    </row>
    <row r="62" spans="1:2">
      <c r="A62" s="95" t="s">
        <v>1493</v>
      </c>
      <c r="B62" s="96" t="s">
        <v>1494</v>
      </c>
    </row>
    <row r="63" spans="1:2">
      <c r="A63" s="93" t="s">
        <v>1495</v>
      </c>
      <c r="B63" s="94" t="s">
        <v>1496</v>
      </c>
    </row>
    <row r="64" spans="1:2">
      <c r="A64" s="95" t="s">
        <v>1497</v>
      </c>
      <c r="B64" s="96" t="s">
        <v>1498</v>
      </c>
    </row>
    <row r="65" spans="1:2" ht="24">
      <c r="A65" s="93" t="s">
        <v>1499</v>
      </c>
      <c r="B65" s="94" t="s">
        <v>1500</v>
      </c>
    </row>
    <row r="66" spans="1:2">
      <c r="A66" s="95" t="s">
        <v>1501</v>
      </c>
      <c r="B66" s="96" t="s">
        <v>1502</v>
      </c>
    </row>
    <row r="67" spans="1:2">
      <c r="A67" s="93" t="s">
        <v>1503</v>
      </c>
      <c r="B67" s="94" t="s">
        <v>1504</v>
      </c>
    </row>
    <row r="68" spans="1:2">
      <c r="A68" s="95" t="s">
        <v>1505</v>
      </c>
      <c r="B68" s="96" t="s">
        <v>1506</v>
      </c>
    </row>
    <row r="69" spans="1:2">
      <c r="A69" s="93" t="s">
        <v>1507</v>
      </c>
      <c r="B69" s="94" t="s">
        <v>1508</v>
      </c>
    </row>
    <row r="70" spans="1:2">
      <c r="A70" s="95" t="s">
        <v>1509</v>
      </c>
      <c r="B70" s="96" t="s">
        <v>1510</v>
      </c>
    </row>
    <row r="71" spans="1:2" ht="24">
      <c r="A71" s="93" t="s">
        <v>1511</v>
      </c>
      <c r="B71" s="94" t="s">
        <v>1512</v>
      </c>
    </row>
    <row r="72" spans="1:2">
      <c r="A72" s="95" t="s">
        <v>1513</v>
      </c>
      <c r="B72" s="96" t="s">
        <v>1514</v>
      </c>
    </row>
    <row r="73" spans="1:2">
      <c r="A73" s="93" t="s">
        <v>1515</v>
      </c>
      <c r="B73" s="94" t="s">
        <v>1516</v>
      </c>
    </row>
    <row r="74" spans="1:2">
      <c r="A74" s="95" t="s">
        <v>1517</v>
      </c>
      <c r="B74" s="96" t="s">
        <v>1518</v>
      </c>
    </row>
    <row r="75" spans="1:2">
      <c r="A75" s="93" t="s">
        <v>1519</v>
      </c>
      <c r="B75" s="94" t="s">
        <v>1520</v>
      </c>
    </row>
    <row r="76" spans="1:2">
      <c r="A76" s="95" t="s">
        <v>1521</v>
      </c>
      <c r="B76" s="96" t="s">
        <v>1522</v>
      </c>
    </row>
    <row r="77" spans="1:2">
      <c r="A77" s="93" t="s">
        <v>1523</v>
      </c>
      <c r="B77" s="94" t="s">
        <v>1524</v>
      </c>
    </row>
    <row r="78" spans="1:2">
      <c r="A78" s="95" t="s">
        <v>1525</v>
      </c>
      <c r="B78" s="96" t="s">
        <v>1526</v>
      </c>
    </row>
    <row r="79" spans="1:2">
      <c r="A79" s="93" t="s">
        <v>1527</v>
      </c>
      <c r="B79" s="94" t="s">
        <v>1528</v>
      </c>
    </row>
    <row r="80" spans="1:2" ht="24">
      <c r="A80" s="95" t="s">
        <v>1529</v>
      </c>
      <c r="B80" s="96" t="s">
        <v>1530</v>
      </c>
    </row>
    <row r="81" spans="1:2" ht="24">
      <c r="A81" s="93" t="s">
        <v>1531</v>
      </c>
      <c r="B81" s="94" t="s">
        <v>1532</v>
      </c>
    </row>
    <row r="82" spans="1:2" ht="24">
      <c r="A82" s="95" t="s">
        <v>1533</v>
      </c>
      <c r="B82" s="96" t="s">
        <v>1534</v>
      </c>
    </row>
    <row r="83" spans="1:2" ht="24">
      <c r="A83" s="93" t="s">
        <v>1535</v>
      </c>
      <c r="B83" s="94" t="s">
        <v>1536</v>
      </c>
    </row>
    <row r="84" spans="1:2">
      <c r="A84" s="95" t="s">
        <v>1537</v>
      </c>
      <c r="B84" s="96" t="s">
        <v>1538</v>
      </c>
    </row>
    <row r="85" spans="1:2">
      <c r="A85" s="93" t="s">
        <v>1539</v>
      </c>
      <c r="B85" s="94" t="s">
        <v>1540</v>
      </c>
    </row>
    <row r="86" spans="1:2">
      <c r="A86" s="95" t="s">
        <v>1541</v>
      </c>
      <c r="B86" s="96" t="s">
        <v>1542</v>
      </c>
    </row>
    <row r="87" spans="1:2" ht="24">
      <c r="A87" s="93" t="s">
        <v>1543</v>
      </c>
      <c r="B87" s="94" t="s">
        <v>1544</v>
      </c>
    </row>
    <row r="88" spans="1:2">
      <c r="A88" s="95" t="s">
        <v>1545</v>
      </c>
      <c r="B88" s="96" t="s">
        <v>1546</v>
      </c>
    </row>
    <row r="89" spans="1:2">
      <c r="A89" s="93" t="s">
        <v>1547</v>
      </c>
      <c r="B89" s="94" t="s">
        <v>1548</v>
      </c>
    </row>
    <row r="90" spans="1:2" ht="36">
      <c r="A90" s="95" t="s">
        <v>1549</v>
      </c>
      <c r="B90" s="96" t="s">
        <v>1550</v>
      </c>
    </row>
    <row r="91" spans="1:2" ht="24">
      <c r="A91" s="93" t="s">
        <v>1551</v>
      </c>
      <c r="B91" s="94" t="s">
        <v>1552</v>
      </c>
    </row>
    <row r="92" spans="1:2" ht="24">
      <c r="A92" s="95" t="s">
        <v>1553</v>
      </c>
      <c r="B92" s="96" t="s">
        <v>1554</v>
      </c>
    </row>
    <row r="93" spans="1:2" ht="24">
      <c r="A93" s="93" t="s">
        <v>1555</v>
      </c>
      <c r="B93" s="94" t="s">
        <v>1556</v>
      </c>
    </row>
    <row r="94" spans="1:2" ht="36">
      <c r="A94" s="95" t="s">
        <v>1557</v>
      </c>
      <c r="B94" s="96" t="s">
        <v>1558</v>
      </c>
    </row>
    <row r="95" spans="1:2" ht="24">
      <c r="A95" s="93" t="s">
        <v>1559</v>
      </c>
      <c r="B95" s="94" t="s">
        <v>1560</v>
      </c>
    </row>
    <row r="96" spans="1:2">
      <c r="A96" s="95" t="s">
        <v>1561</v>
      </c>
      <c r="B96" s="96" t="s">
        <v>1562</v>
      </c>
    </row>
    <row r="97" spans="1:2" ht="36">
      <c r="A97" s="93" t="s">
        <v>1563</v>
      </c>
      <c r="B97" s="94" t="s">
        <v>1564</v>
      </c>
    </row>
    <row r="98" spans="1:2" ht="24">
      <c r="A98" s="95" t="s">
        <v>1565</v>
      </c>
      <c r="B98" s="96" t="s">
        <v>1566</v>
      </c>
    </row>
    <row r="99" spans="1:2">
      <c r="A99" s="93" t="s">
        <v>1567</v>
      </c>
      <c r="B99" s="94" t="s">
        <v>1568</v>
      </c>
    </row>
    <row r="100" spans="1:2">
      <c r="A100" s="95" t="s">
        <v>1569</v>
      </c>
      <c r="B100" s="96" t="s">
        <v>1570</v>
      </c>
    </row>
    <row r="101" spans="1:2" ht="36">
      <c r="A101" s="93" t="s">
        <v>1571</v>
      </c>
      <c r="B101" s="94" t="s">
        <v>1572</v>
      </c>
    </row>
    <row r="102" spans="1:2" ht="24">
      <c r="A102" s="95" t="s">
        <v>1573</v>
      </c>
      <c r="B102" s="96" t="s">
        <v>1574</v>
      </c>
    </row>
    <row r="103" spans="1:2" ht="36">
      <c r="A103" s="93" t="s">
        <v>1575</v>
      </c>
      <c r="B103" s="94" t="s">
        <v>1576</v>
      </c>
    </row>
    <row r="104" spans="1:2" ht="24">
      <c r="A104" s="95" t="s">
        <v>1577</v>
      </c>
      <c r="B104" s="96" t="s">
        <v>1578</v>
      </c>
    </row>
    <row r="105" spans="1:2" ht="24">
      <c r="A105" s="93" t="s">
        <v>1579</v>
      </c>
      <c r="B105" s="94" t="s">
        <v>1580</v>
      </c>
    </row>
    <row r="106" spans="1:2">
      <c r="A106" s="95" t="s">
        <v>1581</v>
      </c>
      <c r="B106" s="96" t="s">
        <v>1582</v>
      </c>
    </row>
    <row r="107" spans="1:2">
      <c r="A107" s="93" t="s">
        <v>1583</v>
      </c>
      <c r="B107" s="94" t="s">
        <v>1584</v>
      </c>
    </row>
    <row r="108" spans="1:2">
      <c r="A108" s="95" t="s">
        <v>1585</v>
      </c>
      <c r="B108" s="96" t="s">
        <v>1586</v>
      </c>
    </row>
    <row r="109" spans="1:2">
      <c r="A109" s="93" t="s">
        <v>1587</v>
      </c>
      <c r="B109" s="94" t="s">
        <v>1588</v>
      </c>
    </row>
    <row r="110" spans="1:2">
      <c r="A110" s="95" t="s">
        <v>1589</v>
      </c>
      <c r="B110" s="96" t="s">
        <v>1590</v>
      </c>
    </row>
    <row r="111" spans="1:2">
      <c r="A111" s="93" t="s">
        <v>1591</v>
      </c>
      <c r="B111" s="94" t="s">
        <v>1592</v>
      </c>
    </row>
    <row r="112" spans="1:2">
      <c r="A112" s="95" t="s">
        <v>1593</v>
      </c>
      <c r="B112" s="96" t="s">
        <v>1594</v>
      </c>
    </row>
    <row r="113" spans="1:2">
      <c r="A113" s="93" t="s">
        <v>1595</v>
      </c>
      <c r="B113" s="94" t="s">
        <v>1596</v>
      </c>
    </row>
    <row r="114" spans="1:2">
      <c r="A114" s="95" t="s">
        <v>1597</v>
      </c>
      <c r="B114" s="96" t="s">
        <v>1598</v>
      </c>
    </row>
    <row r="115" spans="1:2">
      <c r="A115" s="93" t="s">
        <v>1599</v>
      </c>
      <c r="B115" s="94" t="s">
        <v>1600</v>
      </c>
    </row>
    <row r="116" spans="1:2">
      <c r="A116" s="95" t="s">
        <v>1601</v>
      </c>
      <c r="B116" s="96" t="s">
        <v>1602</v>
      </c>
    </row>
    <row r="117" spans="1:2">
      <c r="A117" s="93" t="s">
        <v>1603</v>
      </c>
      <c r="B117" s="94" t="s">
        <v>1604</v>
      </c>
    </row>
    <row r="118" spans="1:2">
      <c r="A118" s="95" t="s">
        <v>1605</v>
      </c>
      <c r="B118" s="96" t="s">
        <v>1606</v>
      </c>
    </row>
    <row r="119" spans="1:2">
      <c r="A119" s="93" t="s">
        <v>1607</v>
      </c>
      <c r="B119" s="94" t="s">
        <v>1608</v>
      </c>
    </row>
    <row r="120" spans="1:2">
      <c r="A120" s="95" t="s">
        <v>1609</v>
      </c>
      <c r="B120" s="96" t="s">
        <v>1610</v>
      </c>
    </row>
    <row r="121" spans="1:2" ht="24">
      <c r="A121" s="93" t="s">
        <v>1611</v>
      </c>
      <c r="B121" s="94" t="s">
        <v>1612</v>
      </c>
    </row>
    <row r="122" spans="1:2">
      <c r="A122" s="95" t="s">
        <v>1613</v>
      </c>
      <c r="B122" s="96" t="s">
        <v>1614</v>
      </c>
    </row>
    <row r="123" spans="1:2">
      <c r="A123" s="93" t="s">
        <v>1615</v>
      </c>
      <c r="B123" s="94" t="s">
        <v>1616</v>
      </c>
    </row>
    <row r="124" spans="1:2">
      <c r="A124" s="95" t="s">
        <v>1617</v>
      </c>
      <c r="B124" s="96" t="s">
        <v>1618</v>
      </c>
    </row>
    <row r="125" spans="1:2">
      <c r="A125" s="93" t="s">
        <v>1619</v>
      </c>
      <c r="B125" s="94" t="s">
        <v>1620</v>
      </c>
    </row>
    <row r="126" spans="1:2">
      <c r="A126" s="95" t="s">
        <v>1621</v>
      </c>
      <c r="B126" s="96" t="s">
        <v>1622</v>
      </c>
    </row>
    <row r="127" spans="1:2" ht="24">
      <c r="A127" s="93" t="s">
        <v>1623</v>
      </c>
      <c r="B127" s="94" t="s">
        <v>1624</v>
      </c>
    </row>
    <row r="128" spans="1:2">
      <c r="A128" s="95" t="s">
        <v>1625</v>
      </c>
      <c r="B128" s="96" t="s">
        <v>1626</v>
      </c>
    </row>
    <row r="129" spans="1:2" ht="24">
      <c r="A129" s="93" t="s">
        <v>1627</v>
      </c>
      <c r="B129" s="94" t="s">
        <v>1628</v>
      </c>
    </row>
    <row r="130" spans="1:2" ht="24">
      <c r="A130" s="95" t="s">
        <v>1629</v>
      </c>
      <c r="B130" s="96" t="s">
        <v>1630</v>
      </c>
    </row>
    <row r="131" spans="1:2">
      <c r="A131" s="93" t="s">
        <v>1631</v>
      </c>
      <c r="B131" s="94" t="s">
        <v>1632</v>
      </c>
    </row>
    <row r="132" spans="1:2" ht="24">
      <c r="A132" s="95" t="s">
        <v>1633</v>
      </c>
      <c r="B132" s="96" t="s">
        <v>1634</v>
      </c>
    </row>
    <row r="133" spans="1:2">
      <c r="A133" s="93" t="s">
        <v>1635</v>
      </c>
      <c r="B133" s="94" t="s">
        <v>1636</v>
      </c>
    </row>
    <row r="134" spans="1:2">
      <c r="A134" s="95" t="s">
        <v>1637</v>
      </c>
      <c r="B134" s="96" t="s">
        <v>1638</v>
      </c>
    </row>
    <row r="135" spans="1:2">
      <c r="A135" s="93" t="s">
        <v>1639</v>
      </c>
      <c r="B135" s="94" t="s">
        <v>1640</v>
      </c>
    </row>
    <row r="136" spans="1:2" ht="24">
      <c r="A136" s="95" t="s">
        <v>1641</v>
      </c>
      <c r="B136" s="96" t="s">
        <v>1642</v>
      </c>
    </row>
    <row r="137" spans="1:2">
      <c r="A137" s="93" t="s">
        <v>1643</v>
      </c>
      <c r="B137" s="94" t="s">
        <v>1644</v>
      </c>
    </row>
    <row r="138" spans="1:2" ht="24">
      <c r="A138" s="95" t="s">
        <v>1645</v>
      </c>
      <c r="B138" s="96" t="s">
        <v>1646</v>
      </c>
    </row>
    <row r="139" spans="1:2">
      <c r="A139" s="93" t="s">
        <v>1647</v>
      </c>
      <c r="B139" s="94" t="s">
        <v>1648</v>
      </c>
    </row>
    <row r="140" spans="1:2" ht="24">
      <c r="A140" s="95" t="s">
        <v>1649</v>
      </c>
      <c r="B140" s="96" t="s">
        <v>1650</v>
      </c>
    </row>
    <row r="141" spans="1:2">
      <c r="A141" s="93" t="s">
        <v>1651</v>
      </c>
      <c r="B141" s="94" t="s">
        <v>1652</v>
      </c>
    </row>
    <row r="142" spans="1:2" ht="24">
      <c r="A142" s="95" t="s">
        <v>1653</v>
      </c>
      <c r="B142" s="96" t="s">
        <v>1654</v>
      </c>
    </row>
    <row r="143" spans="1:2" ht="24">
      <c r="A143" s="93" t="s">
        <v>1655</v>
      </c>
      <c r="B143" s="94" t="s">
        <v>1544</v>
      </c>
    </row>
    <row r="144" spans="1:2" ht="24">
      <c r="A144" s="95" t="s">
        <v>1656</v>
      </c>
      <c r="B144" s="96" t="s">
        <v>1657</v>
      </c>
    </row>
    <row r="145" spans="1:2" ht="24">
      <c r="A145" s="93" t="s">
        <v>1658</v>
      </c>
      <c r="B145" s="94" t="s">
        <v>1659</v>
      </c>
    </row>
    <row r="146" spans="1:2">
      <c r="A146" s="95" t="s">
        <v>1660</v>
      </c>
      <c r="B146" s="96" t="s">
        <v>1661</v>
      </c>
    </row>
    <row r="147" spans="1:2">
      <c r="A147" s="93" t="s">
        <v>1662</v>
      </c>
      <c r="B147" s="94" t="s">
        <v>1663</v>
      </c>
    </row>
    <row r="148" spans="1:2">
      <c r="A148" s="95" t="s">
        <v>1664</v>
      </c>
      <c r="B148" s="96" t="s">
        <v>1665</v>
      </c>
    </row>
    <row r="149" spans="1:2">
      <c r="A149" s="93" t="s">
        <v>1666</v>
      </c>
      <c r="B149" s="94" t="s">
        <v>1667</v>
      </c>
    </row>
    <row r="150" spans="1:2" ht="24">
      <c r="A150" s="95" t="s">
        <v>1668</v>
      </c>
      <c r="B150" s="96" t="s">
        <v>1669</v>
      </c>
    </row>
    <row r="151" spans="1:2" ht="24">
      <c r="A151" s="93" t="s">
        <v>1670</v>
      </c>
      <c r="B151" s="94" t="s">
        <v>1671</v>
      </c>
    </row>
    <row r="152" spans="1:2">
      <c r="A152" s="95" t="s">
        <v>1672</v>
      </c>
      <c r="B152" s="96" t="s">
        <v>1673</v>
      </c>
    </row>
    <row r="153" spans="1:2" ht="24">
      <c r="A153" s="93" t="s">
        <v>1674</v>
      </c>
      <c r="B153" s="94" t="s">
        <v>1675</v>
      </c>
    </row>
    <row r="154" spans="1:2">
      <c r="A154" s="95" t="s">
        <v>1676</v>
      </c>
      <c r="B154" s="96" t="s">
        <v>1677</v>
      </c>
    </row>
    <row r="155" spans="1:2">
      <c r="A155" s="93" t="s">
        <v>1678</v>
      </c>
      <c r="B155" s="94" t="s">
        <v>1679</v>
      </c>
    </row>
    <row r="156" spans="1:2" ht="24">
      <c r="A156" s="95" t="s">
        <v>1680</v>
      </c>
      <c r="B156" s="96" t="s">
        <v>1681</v>
      </c>
    </row>
    <row r="157" spans="1:2" ht="24">
      <c r="A157" s="93" t="s">
        <v>1682</v>
      </c>
      <c r="B157" s="94" t="s">
        <v>1683</v>
      </c>
    </row>
    <row r="158" spans="1:2">
      <c r="A158" s="95" t="s">
        <v>1684</v>
      </c>
      <c r="B158" s="96" t="s">
        <v>1685</v>
      </c>
    </row>
    <row r="159" spans="1:2" ht="24">
      <c r="A159" s="93" t="s">
        <v>1686</v>
      </c>
      <c r="B159" s="94" t="s">
        <v>1687</v>
      </c>
    </row>
    <row r="160" spans="1:2">
      <c r="A160" s="95" t="s">
        <v>1688</v>
      </c>
      <c r="B160" s="96" t="s">
        <v>1689</v>
      </c>
    </row>
    <row r="161" spans="1:2">
      <c r="A161" s="93" t="s">
        <v>1690</v>
      </c>
      <c r="B161" s="94" t="s">
        <v>1691</v>
      </c>
    </row>
    <row r="162" spans="1:2">
      <c r="A162" s="95" t="s">
        <v>1692</v>
      </c>
      <c r="B162" s="96" t="s">
        <v>1693</v>
      </c>
    </row>
    <row r="163" spans="1:2" ht="24">
      <c r="A163" s="93" t="s">
        <v>1694</v>
      </c>
      <c r="B163" s="94" t="s">
        <v>1695</v>
      </c>
    </row>
    <row r="164" spans="1:2">
      <c r="A164" s="95" t="s">
        <v>1696</v>
      </c>
      <c r="B164" s="96" t="s">
        <v>1697</v>
      </c>
    </row>
    <row r="165" spans="1:2">
      <c r="A165" s="93" t="s">
        <v>1698</v>
      </c>
      <c r="B165" s="94" t="s">
        <v>1699</v>
      </c>
    </row>
    <row r="166" spans="1:2" ht="24">
      <c r="A166" s="95" t="s">
        <v>1700</v>
      </c>
      <c r="B166" s="96" t="s">
        <v>1701</v>
      </c>
    </row>
    <row r="167" spans="1:2">
      <c r="A167" s="93" t="s">
        <v>1702</v>
      </c>
      <c r="B167" s="94" t="s">
        <v>1703</v>
      </c>
    </row>
    <row r="168" spans="1:2">
      <c r="A168" s="95" t="s">
        <v>1704</v>
      </c>
      <c r="B168" s="96" t="s">
        <v>1705</v>
      </c>
    </row>
    <row r="169" spans="1:2">
      <c r="A169" s="93" t="s">
        <v>1706</v>
      </c>
      <c r="B169" s="94" t="s">
        <v>1707</v>
      </c>
    </row>
    <row r="170" spans="1:2" ht="24">
      <c r="A170" s="95" t="s">
        <v>1708</v>
      </c>
      <c r="B170" s="96" t="s">
        <v>1709</v>
      </c>
    </row>
    <row r="171" spans="1:2" ht="24">
      <c r="A171" s="93" t="s">
        <v>1710</v>
      </c>
      <c r="B171" s="94" t="s">
        <v>1711</v>
      </c>
    </row>
    <row r="172" spans="1:2" ht="36">
      <c r="A172" s="95" t="s">
        <v>1712</v>
      </c>
      <c r="B172" s="96" t="s">
        <v>1713</v>
      </c>
    </row>
    <row r="173" spans="1:2">
      <c r="A173" s="93" t="s">
        <v>1714</v>
      </c>
      <c r="B173" s="94" t="s">
        <v>1715</v>
      </c>
    </row>
    <row r="174" spans="1:2">
      <c r="A174" s="95" t="s">
        <v>1716</v>
      </c>
      <c r="B174" s="96" t="s">
        <v>1717</v>
      </c>
    </row>
    <row r="175" spans="1:2">
      <c r="A175" s="93" t="s">
        <v>1718</v>
      </c>
      <c r="B175" s="94" t="s">
        <v>1719</v>
      </c>
    </row>
    <row r="176" spans="1:2">
      <c r="A176" s="95" t="s">
        <v>1720</v>
      </c>
      <c r="B176" s="96" t="s">
        <v>1721</v>
      </c>
    </row>
    <row r="177" spans="1:2">
      <c r="A177" s="93" t="s">
        <v>1722</v>
      </c>
      <c r="B177" s="94" t="s">
        <v>1723</v>
      </c>
    </row>
    <row r="178" spans="1:2" ht="24">
      <c r="A178" s="95" t="s">
        <v>1724</v>
      </c>
      <c r="B178" s="96" t="s">
        <v>1725</v>
      </c>
    </row>
    <row r="179" spans="1:2" ht="24">
      <c r="A179" s="93" t="s">
        <v>1726</v>
      </c>
      <c r="B179" s="94" t="s">
        <v>1727</v>
      </c>
    </row>
    <row r="180" spans="1:2" ht="24">
      <c r="A180" s="95" t="s">
        <v>1728</v>
      </c>
      <c r="B180" s="96" t="s">
        <v>1729</v>
      </c>
    </row>
    <row r="181" spans="1:2" ht="24">
      <c r="A181" s="93" t="s">
        <v>1730</v>
      </c>
      <c r="B181" s="94" t="s">
        <v>1731</v>
      </c>
    </row>
    <row r="182" spans="1:2" ht="36">
      <c r="A182" s="95" t="s">
        <v>1732</v>
      </c>
      <c r="B182" s="96" t="s">
        <v>1733</v>
      </c>
    </row>
    <row r="183" spans="1:2" ht="36">
      <c r="A183" s="93" t="s">
        <v>1734</v>
      </c>
      <c r="B183" s="94" t="s">
        <v>1735</v>
      </c>
    </row>
    <row r="184" spans="1:2" ht="24">
      <c r="A184" s="95" t="s">
        <v>1736</v>
      </c>
      <c r="B184" s="96" t="s">
        <v>1737</v>
      </c>
    </row>
    <row r="185" spans="1:2">
      <c r="A185" s="93" t="s">
        <v>1738</v>
      </c>
      <c r="B185" s="94" t="s">
        <v>1739</v>
      </c>
    </row>
    <row r="186" spans="1:2" ht="24">
      <c r="A186" s="95" t="s">
        <v>1740</v>
      </c>
      <c r="B186" s="96" t="s">
        <v>1741</v>
      </c>
    </row>
    <row r="187" spans="1:2" ht="24">
      <c r="A187" s="93" t="s">
        <v>1742</v>
      </c>
      <c r="B187" s="94" t="s">
        <v>1743</v>
      </c>
    </row>
    <row r="188" spans="1:2" ht="36">
      <c r="A188" s="95" t="s">
        <v>1744</v>
      </c>
      <c r="B188" s="96" t="s">
        <v>1745</v>
      </c>
    </row>
    <row r="189" spans="1:2">
      <c r="A189" s="93" t="s">
        <v>1746</v>
      </c>
      <c r="B189" s="94" t="s">
        <v>1747</v>
      </c>
    </row>
    <row r="190" spans="1:2" ht="24">
      <c r="A190" s="95" t="s">
        <v>1748</v>
      </c>
      <c r="B190" s="96" t="s">
        <v>1749</v>
      </c>
    </row>
    <row r="191" spans="1:2" ht="24">
      <c r="A191" s="93" t="s">
        <v>1750</v>
      </c>
      <c r="B191" s="94" t="s">
        <v>1751</v>
      </c>
    </row>
    <row r="192" spans="1:2">
      <c r="A192" s="95" t="s">
        <v>1752</v>
      </c>
      <c r="B192" s="96" t="s">
        <v>1753</v>
      </c>
    </row>
    <row r="193" spans="1:2">
      <c r="A193" s="93" t="s">
        <v>1754</v>
      </c>
      <c r="B193" s="94" t="s">
        <v>1755</v>
      </c>
    </row>
    <row r="194" spans="1:2">
      <c r="A194" s="95" t="s">
        <v>1756</v>
      </c>
      <c r="B194" s="96" t="s">
        <v>1757</v>
      </c>
    </row>
    <row r="195" spans="1:2">
      <c r="A195" s="93" t="s">
        <v>1758</v>
      </c>
      <c r="B195" s="94" t="s">
        <v>1759</v>
      </c>
    </row>
    <row r="196" spans="1:2">
      <c r="A196" s="95" t="s">
        <v>1760</v>
      </c>
      <c r="B196" s="96" t="s">
        <v>1761</v>
      </c>
    </row>
    <row r="197" spans="1:2">
      <c r="A197" s="93" t="s">
        <v>1762</v>
      </c>
      <c r="B197" s="94" t="s">
        <v>1763</v>
      </c>
    </row>
    <row r="198" spans="1:2">
      <c r="A198" s="95" t="s">
        <v>1764</v>
      </c>
      <c r="B198" s="96" t="s">
        <v>1765</v>
      </c>
    </row>
    <row r="199" spans="1:2">
      <c r="A199" s="93" t="s">
        <v>1766</v>
      </c>
      <c r="B199" s="94" t="s">
        <v>1767</v>
      </c>
    </row>
    <row r="200" spans="1:2">
      <c r="A200" s="95" t="s">
        <v>1768</v>
      </c>
      <c r="B200" s="96" t="s">
        <v>1769</v>
      </c>
    </row>
    <row r="201" spans="1:2">
      <c r="A201" s="93" t="s">
        <v>1770</v>
      </c>
      <c r="B201" s="94" t="s">
        <v>1771</v>
      </c>
    </row>
    <row r="202" spans="1:2">
      <c r="A202" s="95" t="s">
        <v>1772</v>
      </c>
      <c r="B202" s="96" t="s">
        <v>1773</v>
      </c>
    </row>
    <row r="203" spans="1:2">
      <c r="A203" s="93" t="s">
        <v>1774</v>
      </c>
      <c r="B203" s="94" t="s">
        <v>1775</v>
      </c>
    </row>
    <row r="204" spans="1:2">
      <c r="A204" s="95" t="s">
        <v>1776</v>
      </c>
      <c r="B204" s="96" t="s">
        <v>1777</v>
      </c>
    </row>
    <row r="205" spans="1:2">
      <c r="A205" s="93" t="s">
        <v>1778</v>
      </c>
      <c r="B205" s="94" t="s">
        <v>1779</v>
      </c>
    </row>
    <row r="206" spans="1:2">
      <c r="A206" s="95" t="s">
        <v>1780</v>
      </c>
      <c r="B206" s="96" t="s">
        <v>1418</v>
      </c>
    </row>
    <row r="207" spans="1:2">
      <c r="A207" s="93" t="s">
        <v>1781</v>
      </c>
      <c r="B207" s="94" t="s">
        <v>1782</v>
      </c>
    </row>
    <row r="208" spans="1:2">
      <c r="A208" s="95" t="s">
        <v>1783</v>
      </c>
      <c r="B208" s="96" t="s">
        <v>1784</v>
      </c>
    </row>
    <row r="209" spans="1:2">
      <c r="A209" s="93" t="s">
        <v>1785</v>
      </c>
      <c r="B209" s="94" t="s">
        <v>1426</v>
      </c>
    </row>
    <row r="210" spans="1:2" ht="24">
      <c r="A210" s="95" t="s">
        <v>1786</v>
      </c>
      <c r="B210" s="96" t="s">
        <v>1787</v>
      </c>
    </row>
    <row r="211" spans="1:2">
      <c r="A211" s="93" t="s">
        <v>1788</v>
      </c>
      <c r="B211" s="94" t="s">
        <v>1789</v>
      </c>
    </row>
    <row r="212" spans="1:2">
      <c r="A212" s="95" t="s">
        <v>1790</v>
      </c>
      <c r="B212" s="96" t="s">
        <v>1791</v>
      </c>
    </row>
    <row r="213" spans="1:2" ht="24">
      <c r="A213" s="93" t="s">
        <v>1792</v>
      </c>
      <c r="B213" s="94" t="s">
        <v>1793</v>
      </c>
    </row>
    <row r="214" spans="1:2">
      <c r="A214" s="95" t="s">
        <v>1794</v>
      </c>
      <c r="B214" s="96" t="s">
        <v>1795</v>
      </c>
    </row>
    <row r="215" spans="1:2">
      <c r="A215" s="93" t="s">
        <v>1796</v>
      </c>
      <c r="B215" s="94" t="s">
        <v>1797</v>
      </c>
    </row>
    <row r="216" spans="1:2" ht="24">
      <c r="A216" s="95" t="s">
        <v>1798</v>
      </c>
      <c r="B216" s="96" t="s">
        <v>1799</v>
      </c>
    </row>
    <row r="217" spans="1:2">
      <c r="A217" s="93" t="s">
        <v>1800</v>
      </c>
      <c r="B217" s="94" t="s">
        <v>1801</v>
      </c>
    </row>
    <row r="218" spans="1:2">
      <c r="A218" s="95" t="s">
        <v>1802</v>
      </c>
      <c r="B218" s="96" t="s">
        <v>1803</v>
      </c>
    </row>
    <row r="219" spans="1:2">
      <c r="A219" s="93" t="s">
        <v>1804</v>
      </c>
      <c r="B219" s="94" t="s">
        <v>1805</v>
      </c>
    </row>
    <row r="220" spans="1:2">
      <c r="A220" s="95" t="s">
        <v>1806</v>
      </c>
      <c r="B220" s="96" t="s">
        <v>1807</v>
      </c>
    </row>
    <row r="221" spans="1:2">
      <c r="A221" s="93" t="s">
        <v>1808</v>
      </c>
      <c r="B221" s="94" t="s">
        <v>1809</v>
      </c>
    </row>
    <row r="222" spans="1:2" ht="24">
      <c r="A222" s="95" t="s">
        <v>1810</v>
      </c>
      <c r="B222" s="96" t="s">
        <v>1811</v>
      </c>
    </row>
    <row r="223" spans="1:2">
      <c r="A223" s="93" t="s">
        <v>1812</v>
      </c>
      <c r="B223" s="94" t="s">
        <v>1813</v>
      </c>
    </row>
    <row r="224" spans="1:2">
      <c r="A224" s="95" t="s">
        <v>1814</v>
      </c>
      <c r="B224" s="96" t="s">
        <v>1815</v>
      </c>
    </row>
    <row r="225" spans="1:2">
      <c r="A225" s="93" t="s">
        <v>1816</v>
      </c>
      <c r="B225" s="94" t="s">
        <v>1817</v>
      </c>
    </row>
    <row r="226" spans="1:2">
      <c r="A226" s="95" t="s">
        <v>1818</v>
      </c>
      <c r="B226" s="96" t="s">
        <v>1819</v>
      </c>
    </row>
    <row r="227" spans="1:2">
      <c r="A227" s="93" t="s">
        <v>1820</v>
      </c>
      <c r="B227" s="94" t="s">
        <v>1821</v>
      </c>
    </row>
    <row r="228" spans="1:2">
      <c r="A228" s="95" t="s">
        <v>1822</v>
      </c>
      <c r="B228" s="96" t="s">
        <v>1823</v>
      </c>
    </row>
    <row r="229" spans="1:2">
      <c r="A229" s="93" t="s">
        <v>1824</v>
      </c>
      <c r="B229" s="94" t="s">
        <v>1825</v>
      </c>
    </row>
    <row r="230" spans="1:2">
      <c r="A230" s="95" t="s">
        <v>1826</v>
      </c>
      <c r="B230" s="96" t="s">
        <v>1827</v>
      </c>
    </row>
    <row r="231" spans="1:2">
      <c r="A231" s="93" t="s">
        <v>1828</v>
      </c>
      <c r="B231" s="94" t="s">
        <v>1829</v>
      </c>
    </row>
    <row r="232" spans="1:2">
      <c r="A232" s="95" t="s">
        <v>1830</v>
      </c>
      <c r="B232" s="96" t="s">
        <v>1831</v>
      </c>
    </row>
    <row r="233" spans="1:2" ht="24">
      <c r="A233" s="93" t="s">
        <v>1832</v>
      </c>
      <c r="B233" s="94" t="s">
        <v>1833</v>
      </c>
    </row>
    <row r="234" spans="1:2">
      <c r="A234" s="95" t="s">
        <v>1834</v>
      </c>
      <c r="B234" s="96" t="s">
        <v>1835</v>
      </c>
    </row>
    <row r="235" spans="1:2">
      <c r="A235" s="93" t="s">
        <v>1836</v>
      </c>
      <c r="B235" s="94" t="s">
        <v>1837</v>
      </c>
    </row>
    <row r="236" spans="1:2" ht="24">
      <c r="A236" s="95" t="s">
        <v>1838</v>
      </c>
      <c r="B236" s="96" t="s">
        <v>1839</v>
      </c>
    </row>
    <row r="237" spans="1:2">
      <c r="A237" s="93" t="s">
        <v>1840</v>
      </c>
      <c r="B237" s="94" t="s">
        <v>1841</v>
      </c>
    </row>
    <row r="238" spans="1:2">
      <c r="A238" s="95" t="s">
        <v>1842</v>
      </c>
      <c r="B238" s="96" t="s">
        <v>1843</v>
      </c>
    </row>
    <row r="239" spans="1:2" ht="24">
      <c r="A239" s="93" t="s">
        <v>1844</v>
      </c>
      <c r="B239" s="94" t="s">
        <v>1845</v>
      </c>
    </row>
    <row r="240" spans="1:2">
      <c r="A240" s="95" t="s">
        <v>1846</v>
      </c>
      <c r="B240" s="96" t="s">
        <v>1847</v>
      </c>
    </row>
    <row r="241" spans="1:2">
      <c r="A241" s="93" t="s">
        <v>1848</v>
      </c>
      <c r="B241" s="94" t="s">
        <v>1849</v>
      </c>
    </row>
    <row r="242" spans="1:2">
      <c r="A242" s="95" t="s">
        <v>1850</v>
      </c>
      <c r="B242" s="96" t="s">
        <v>1496</v>
      </c>
    </row>
    <row r="243" spans="1:2" ht="24">
      <c r="A243" s="93" t="s">
        <v>1851</v>
      </c>
      <c r="B243" s="94" t="s">
        <v>1852</v>
      </c>
    </row>
    <row r="244" spans="1:2">
      <c r="A244" s="95" t="s">
        <v>1853</v>
      </c>
      <c r="B244" s="96" t="s">
        <v>1854</v>
      </c>
    </row>
    <row r="245" spans="1:2">
      <c r="A245" s="93" t="s">
        <v>1855</v>
      </c>
      <c r="B245" s="94" t="s">
        <v>1856</v>
      </c>
    </row>
    <row r="246" spans="1:2">
      <c r="A246" s="95" t="s">
        <v>1857</v>
      </c>
      <c r="B246" s="96" t="s">
        <v>1858</v>
      </c>
    </row>
    <row r="247" spans="1:2" ht="24">
      <c r="A247" s="93" t="s">
        <v>1859</v>
      </c>
      <c r="B247" s="94" t="s">
        <v>1860</v>
      </c>
    </row>
    <row r="248" spans="1:2">
      <c r="A248" s="95" t="s">
        <v>1861</v>
      </c>
      <c r="B248" s="96" t="s">
        <v>1862</v>
      </c>
    </row>
    <row r="249" spans="1:2">
      <c r="A249" s="93" t="s">
        <v>1863</v>
      </c>
      <c r="B249" s="94" t="s">
        <v>1864</v>
      </c>
    </row>
    <row r="250" spans="1:2" ht="24">
      <c r="A250" s="95" t="s">
        <v>1865</v>
      </c>
      <c r="B250" s="96" t="s">
        <v>1866</v>
      </c>
    </row>
    <row r="251" spans="1:2">
      <c r="A251" s="93" t="s">
        <v>1867</v>
      </c>
      <c r="B251" s="94" t="s">
        <v>1868</v>
      </c>
    </row>
    <row r="252" spans="1:2">
      <c r="A252" s="95" t="s">
        <v>1869</v>
      </c>
      <c r="B252" s="96" t="s">
        <v>1870</v>
      </c>
    </row>
    <row r="253" spans="1:2">
      <c r="A253" s="93" t="s">
        <v>1871</v>
      </c>
      <c r="B253" s="94" t="s">
        <v>1872</v>
      </c>
    </row>
    <row r="254" spans="1:2">
      <c r="A254" s="95" t="s">
        <v>1873</v>
      </c>
      <c r="B254" s="96" t="s">
        <v>1874</v>
      </c>
    </row>
    <row r="255" spans="1:2">
      <c r="A255" s="93" t="s">
        <v>1875</v>
      </c>
      <c r="B255" s="94" t="s">
        <v>1876</v>
      </c>
    </row>
    <row r="256" spans="1:2">
      <c r="A256" s="95" t="s">
        <v>1877</v>
      </c>
      <c r="B256" s="96" t="s">
        <v>1878</v>
      </c>
    </row>
    <row r="257" spans="1:2" ht="24">
      <c r="A257" s="93" t="s">
        <v>1879</v>
      </c>
      <c r="B257" s="94" t="s">
        <v>1880</v>
      </c>
    </row>
    <row r="258" spans="1:2">
      <c r="A258" s="95" t="s">
        <v>1881</v>
      </c>
      <c r="B258" s="96" t="s">
        <v>1882</v>
      </c>
    </row>
    <row r="259" spans="1:2">
      <c r="A259" s="93" t="s">
        <v>1883</v>
      </c>
      <c r="B259" s="94" t="s">
        <v>1884</v>
      </c>
    </row>
    <row r="260" spans="1:2">
      <c r="A260" s="95" t="s">
        <v>1885</v>
      </c>
      <c r="B260" s="96" t="s">
        <v>1886</v>
      </c>
    </row>
    <row r="261" spans="1:2">
      <c r="A261" s="93" t="s">
        <v>1887</v>
      </c>
      <c r="B261" s="94" t="s">
        <v>1888</v>
      </c>
    </row>
    <row r="262" spans="1:2">
      <c r="A262" s="95" t="s">
        <v>1889</v>
      </c>
      <c r="B262" s="96" t="s">
        <v>1890</v>
      </c>
    </row>
    <row r="263" spans="1:2">
      <c r="A263" s="93" t="s">
        <v>1891</v>
      </c>
      <c r="B263" s="94" t="s">
        <v>1892</v>
      </c>
    </row>
    <row r="264" spans="1:2">
      <c r="A264" s="95" t="s">
        <v>1893</v>
      </c>
      <c r="B264" s="96" t="s">
        <v>1894</v>
      </c>
    </row>
    <row r="265" spans="1:2">
      <c r="A265" s="93" t="s">
        <v>1895</v>
      </c>
      <c r="B265" s="94" t="s">
        <v>1896</v>
      </c>
    </row>
    <row r="266" spans="1:2">
      <c r="A266" s="95" t="s">
        <v>1897</v>
      </c>
      <c r="B266" s="96" t="s">
        <v>1898</v>
      </c>
    </row>
    <row r="267" spans="1:2">
      <c r="A267" s="93" t="s">
        <v>1899</v>
      </c>
      <c r="B267" s="94" t="s">
        <v>1900</v>
      </c>
    </row>
    <row r="268" spans="1:2">
      <c r="A268" s="95" t="s">
        <v>1901</v>
      </c>
      <c r="B268" s="96" t="s">
        <v>1902</v>
      </c>
    </row>
    <row r="269" spans="1:2">
      <c r="A269" s="93" t="s">
        <v>1903</v>
      </c>
      <c r="B269" s="94" t="s">
        <v>1904</v>
      </c>
    </row>
    <row r="270" spans="1:2" ht="24">
      <c r="A270" s="95" t="s">
        <v>1905</v>
      </c>
      <c r="B270" s="96" t="s">
        <v>1906</v>
      </c>
    </row>
    <row r="271" spans="1:2">
      <c r="A271" s="93" t="s">
        <v>1907</v>
      </c>
      <c r="B271" s="94" t="s">
        <v>1908</v>
      </c>
    </row>
    <row r="272" spans="1:2">
      <c r="A272" s="95" t="s">
        <v>1909</v>
      </c>
      <c r="B272" s="96" t="s">
        <v>1910</v>
      </c>
    </row>
    <row r="273" spans="1:2">
      <c r="A273" s="93" t="s">
        <v>1911</v>
      </c>
      <c r="B273" s="94" t="s">
        <v>1912</v>
      </c>
    </row>
    <row r="274" spans="1:2">
      <c r="A274" s="95" t="s">
        <v>1913</v>
      </c>
      <c r="B274" s="96" t="s">
        <v>1914</v>
      </c>
    </row>
    <row r="275" spans="1:2">
      <c r="A275" s="93" t="s">
        <v>1915</v>
      </c>
      <c r="B275" s="94" t="s">
        <v>1916</v>
      </c>
    </row>
    <row r="276" spans="1:2">
      <c r="A276" s="95" t="s">
        <v>1917</v>
      </c>
      <c r="B276" s="96" t="s">
        <v>1918</v>
      </c>
    </row>
    <row r="277" spans="1:2">
      <c r="A277" s="93" t="s">
        <v>1919</v>
      </c>
      <c r="B277" s="94" t="s">
        <v>1920</v>
      </c>
    </row>
    <row r="278" spans="1:2" ht="24">
      <c r="A278" s="95" t="s">
        <v>1921</v>
      </c>
      <c r="B278" s="96" t="s">
        <v>1922</v>
      </c>
    </row>
    <row r="279" spans="1:2" ht="24">
      <c r="A279" s="93" t="s">
        <v>1923</v>
      </c>
      <c r="B279" s="94" t="s">
        <v>1924</v>
      </c>
    </row>
    <row r="280" spans="1:2" ht="24">
      <c r="A280" s="95" t="s">
        <v>1925</v>
      </c>
      <c r="B280" s="96" t="s">
        <v>1926</v>
      </c>
    </row>
    <row r="281" spans="1:2">
      <c r="A281" s="93" t="s">
        <v>1927</v>
      </c>
      <c r="B281" s="94" t="s">
        <v>1928</v>
      </c>
    </row>
    <row r="282" spans="1:2" ht="24">
      <c r="A282" s="95" t="s">
        <v>1929</v>
      </c>
      <c r="B282" s="96" t="s">
        <v>1930</v>
      </c>
    </row>
    <row r="283" spans="1:2" ht="24">
      <c r="A283" s="93" t="s">
        <v>1931</v>
      </c>
      <c r="B283" s="94" t="s">
        <v>1932</v>
      </c>
    </row>
    <row r="284" spans="1:2">
      <c r="A284" s="95" t="s">
        <v>1933</v>
      </c>
      <c r="B284" s="96" t="s">
        <v>1934</v>
      </c>
    </row>
    <row r="285" spans="1:2" ht="24">
      <c r="A285" s="93" t="s">
        <v>1935</v>
      </c>
      <c r="B285" s="94" t="s">
        <v>1936</v>
      </c>
    </row>
    <row r="286" spans="1:2" ht="36">
      <c r="A286" s="95" t="s">
        <v>1937</v>
      </c>
      <c r="B286" s="96" t="s">
        <v>1938</v>
      </c>
    </row>
    <row r="287" spans="1:2" ht="24">
      <c r="A287" s="93" t="s">
        <v>1939</v>
      </c>
      <c r="B287" s="94" t="s">
        <v>1940</v>
      </c>
    </row>
    <row r="288" spans="1:2" ht="24">
      <c r="A288" s="95" t="s">
        <v>1941</v>
      </c>
      <c r="B288" s="96" t="s">
        <v>1942</v>
      </c>
    </row>
    <row r="289" spans="1:2">
      <c r="A289" s="93" t="s">
        <v>1943</v>
      </c>
      <c r="B289" s="94" t="s">
        <v>1944</v>
      </c>
    </row>
    <row r="290" spans="1:2">
      <c r="A290" s="95" t="s">
        <v>1945</v>
      </c>
      <c r="B290" s="96" t="s">
        <v>1946</v>
      </c>
    </row>
    <row r="291" spans="1:2">
      <c r="A291" s="93" t="s">
        <v>1947</v>
      </c>
      <c r="B291" s="94" t="s">
        <v>1948</v>
      </c>
    </row>
    <row r="292" spans="1:2">
      <c r="A292" s="95" t="s">
        <v>1949</v>
      </c>
      <c r="B292" s="96" t="s">
        <v>1950</v>
      </c>
    </row>
    <row r="293" spans="1:2">
      <c r="A293" s="93" t="s">
        <v>1951</v>
      </c>
      <c r="B293" s="94" t="s">
        <v>1952</v>
      </c>
    </row>
    <row r="294" spans="1:2">
      <c r="A294" s="95" t="s">
        <v>1953</v>
      </c>
      <c r="B294" s="96" t="s">
        <v>1954</v>
      </c>
    </row>
    <row r="295" spans="1:2" ht="24">
      <c r="A295" s="93" t="s">
        <v>1955</v>
      </c>
      <c r="B295" s="94" t="s">
        <v>1956</v>
      </c>
    </row>
    <row r="296" spans="1:2">
      <c r="A296" s="95" t="s">
        <v>1957</v>
      </c>
      <c r="B296" s="96" t="s">
        <v>1958</v>
      </c>
    </row>
    <row r="297" spans="1:2">
      <c r="A297" s="93" t="s">
        <v>1959</v>
      </c>
      <c r="B297" s="94" t="s">
        <v>1960</v>
      </c>
    </row>
    <row r="298" spans="1:2">
      <c r="A298" s="95" t="s">
        <v>1961</v>
      </c>
      <c r="B298" s="96" t="s">
        <v>1962</v>
      </c>
    </row>
    <row r="299" spans="1:2">
      <c r="A299" s="93" t="s">
        <v>1963</v>
      </c>
      <c r="B299" s="94" t="s">
        <v>1964</v>
      </c>
    </row>
    <row r="300" spans="1:2" ht="24">
      <c r="A300" s="95" t="s">
        <v>1965</v>
      </c>
      <c r="B300" s="96" t="s">
        <v>1966</v>
      </c>
    </row>
    <row r="301" spans="1:2">
      <c r="A301" s="93" t="s">
        <v>1967</v>
      </c>
      <c r="B301" s="94" t="s">
        <v>1968</v>
      </c>
    </row>
    <row r="302" spans="1:2">
      <c r="A302" s="95" t="s">
        <v>1969</v>
      </c>
      <c r="B302" s="96" t="s">
        <v>1970</v>
      </c>
    </row>
    <row r="303" spans="1:2">
      <c r="A303" s="93" t="s">
        <v>1971</v>
      </c>
      <c r="B303" s="94" t="s">
        <v>1972</v>
      </c>
    </row>
    <row r="304" spans="1:2">
      <c r="A304" s="95" t="s">
        <v>1973</v>
      </c>
      <c r="B304" s="96" t="s">
        <v>1974</v>
      </c>
    </row>
    <row r="305" spans="1:2">
      <c r="A305" s="93" t="s">
        <v>1975</v>
      </c>
      <c r="B305" s="94" t="s">
        <v>1976</v>
      </c>
    </row>
    <row r="306" spans="1:2">
      <c r="A306" s="95" t="s">
        <v>1977</v>
      </c>
      <c r="B306" s="96" t="s">
        <v>1978</v>
      </c>
    </row>
    <row r="307" spans="1:2">
      <c r="A307" s="93" t="s">
        <v>1979</v>
      </c>
      <c r="B307" s="94" t="s">
        <v>1980</v>
      </c>
    </row>
    <row r="308" spans="1:2">
      <c r="A308" s="95" t="s">
        <v>1981</v>
      </c>
      <c r="B308" s="96" t="s">
        <v>1982</v>
      </c>
    </row>
    <row r="309" spans="1:2">
      <c r="A309" s="93" t="s">
        <v>1983</v>
      </c>
      <c r="B309" s="94" t="s">
        <v>1984</v>
      </c>
    </row>
    <row r="310" spans="1:2">
      <c r="A310" s="95" t="s">
        <v>1985</v>
      </c>
      <c r="B310" s="96" t="s">
        <v>1986</v>
      </c>
    </row>
    <row r="311" spans="1:2">
      <c r="A311" s="93" t="s">
        <v>1987</v>
      </c>
      <c r="B311" s="94" t="s">
        <v>1988</v>
      </c>
    </row>
    <row r="312" spans="1:2">
      <c r="A312" s="95" t="s">
        <v>1989</v>
      </c>
      <c r="B312" s="96" t="s">
        <v>1990</v>
      </c>
    </row>
    <row r="313" spans="1:2">
      <c r="A313" s="93" t="s">
        <v>1991</v>
      </c>
      <c r="B313" s="94" t="s">
        <v>1992</v>
      </c>
    </row>
    <row r="314" spans="1:2">
      <c r="A314" s="95" t="s">
        <v>1993</v>
      </c>
      <c r="B314" s="96" t="s">
        <v>1994</v>
      </c>
    </row>
    <row r="315" spans="1:2">
      <c r="A315" s="93" t="s">
        <v>1995</v>
      </c>
      <c r="B315" s="94" t="s">
        <v>1996</v>
      </c>
    </row>
    <row r="316" spans="1:2">
      <c r="A316" s="95" t="s">
        <v>1997</v>
      </c>
      <c r="B316" s="96" t="s">
        <v>1998</v>
      </c>
    </row>
    <row r="317" spans="1:2" ht="24">
      <c r="A317" s="93" t="s">
        <v>1999</v>
      </c>
      <c r="B317" s="94" t="s">
        <v>2000</v>
      </c>
    </row>
    <row r="318" spans="1:2">
      <c r="A318" s="95" t="s">
        <v>2001</v>
      </c>
      <c r="B318" s="96" t="s">
        <v>2002</v>
      </c>
    </row>
    <row r="319" spans="1:2">
      <c r="A319" s="93" t="s">
        <v>2003</v>
      </c>
      <c r="B319" s="94" t="s">
        <v>2004</v>
      </c>
    </row>
    <row r="320" spans="1:2">
      <c r="A320" s="95" t="s">
        <v>2005</v>
      </c>
      <c r="B320" s="96" t="s">
        <v>2006</v>
      </c>
    </row>
    <row r="321" spans="1:2">
      <c r="A321" s="93" t="s">
        <v>2007</v>
      </c>
      <c r="B321" s="94" t="s">
        <v>2008</v>
      </c>
    </row>
    <row r="322" spans="1:2">
      <c r="A322" s="95" t="s">
        <v>2009</v>
      </c>
      <c r="B322" s="96" t="s">
        <v>2010</v>
      </c>
    </row>
    <row r="323" spans="1:2">
      <c r="A323" s="93" t="s">
        <v>2011</v>
      </c>
      <c r="B323" s="94" t="s">
        <v>2012</v>
      </c>
    </row>
    <row r="324" spans="1:2" ht="24">
      <c r="A324" s="95" t="s">
        <v>2013</v>
      </c>
      <c r="B324" s="96" t="s">
        <v>2014</v>
      </c>
    </row>
    <row r="325" spans="1:2">
      <c r="A325" s="93" t="s">
        <v>2015</v>
      </c>
      <c r="B325" s="94" t="s">
        <v>2016</v>
      </c>
    </row>
    <row r="326" spans="1:2">
      <c r="A326" s="95" t="s">
        <v>2017</v>
      </c>
      <c r="B326" s="96" t="s">
        <v>2018</v>
      </c>
    </row>
    <row r="327" spans="1:2">
      <c r="A327" s="93" t="s">
        <v>2019</v>
      </c>
      <c r="B327" s="94" t="s">
        <v>2020</v>
      </c>
    </row>
    <row r="328" spans="1:2">
      <c r="A328" s="95" t="s">
        <v>2021</v>
      </c>
      <c r="B328" s="96" t="s">
        <v>2022</v>
      </c>
    </row>
    <row r="329" spans="1:2" ht="24">
      <c r="A329" s="93" t="s">
        <v>2023</v>
      </c>
      <c r="B329" s="94" t="s">
        <v>2024</v>
      </c>
    </row>
    <row r="330" spans="1:2">
      <c r="A330" s="95" t="s">
        <v>2025</v>
      </c>
      <c r="B330" s="96" t="s">
        <v>2026</v>
      </c>
    </row>
    <row r="331" spans="1:2" ht="24">
      <c r="A331" s="93" t="s">
        <v>2027</v>
      </c>
      <c r="B331" s="94" t="s">
        <v>2028</v>
      </c>
    </row>
    <row r="332" spans="1:2">
      <c r="A332" s="95" t="s">
        <v>2029</v>
      </c>
      <c r="B332" s="96" t="s">
        <v>2030</v>
      </c>
    </row>
    <row r="333" spans="1:2">
      <c r="A333" s="93" t="s">
        <v>2031</v>
      </c>
      <c r="B333" s="94" t="s">
        <v>2032</v>
      </c>
    </row>
    <row r="334" spans="1:2">
      <c r="A334" s="95" t="s">
        <v>2033</v>
      </c>
      <c r="B334" s="96" t="s">
        <v>2034</v>
      </c>
    </row>
    <row r="335" spans="1:2">
      <c r="A335" s="93" t="s">
        <v>2035</v>
      </c>
      <c r="B335" s="94" t="s">
        <v>2036</v>
      </c>
    </row>
    <row r="336" spans="1:2">
      <c r="A336" s="95" t="s">
        <v>2037</v>
      </c>
      <c r="B336" s="96" t="s">
        <v>2038</v>
      </c>
    </row>
    <row r="337" spans="1:2" ht="24">
      <c r="A337" s="93" t="s">
        <v>2039</v>
      </c>
      <c r="B337" s="94" t="s">
        <v>2040</v>
      </c>
    </row>
    <row r="338" spans="1:2">
      <c r="A338" s="95" t="s">
        <v>2041</v>
      </c>
      <c r="B338" s="96" t="s">
        <v>2042</v>
      </c>
    </row>
    <row r="339" spans="1:2">
      <c r="A339" s="93" t="s">
        <v>2043</v>
      </c>
      <c r="B339" s="94" t="s">
        <v>2044</v>
      </c>
    </row>
    <row r="340" spans="1:2">
      <c r="A340" s="95" t="s">
        <v>2045</v>
      </c>
      <c r="B340" s="96" t="s">
        <v>2046</v>
      </c>
    </row>
    <row r="341" spans="1:2">
      <c r="A341" s="93" t="s">
        <v>2047</v>
      </c>
      <c r="B341" s="94" t="s">
        <v>2048</v>
      </c>
    </row>
    <row r="342" spans="1:2">
      <c r="A342" s="95" t="s">
        <v>2049</v>
      </c>
      <c r="B342" s="96" t="s">
        <v>2050</v>
      </c>
    </row>
    <row r="343" spans="1:2">
      <c r="A343" s="93" t="s">
        <v>2051</v>
      </c>
      <c r="B343" s="94" t="s">
        <v>2052</v>
      </c>
    </row>
    <row r="344" spans="1:2">
      <c r="A344" s="95" t="s">
        <v>2053</v>
      </c>
      <c r="B344" s="96" t="s">
        <v>2054</v>
      </c>
    </row>
    <row r="345" spans="1:2">
      <c r="A345" s="93" t="s">
        <v>2055</v>
      </c>
      <c r="B345" s="94" t="s">
        <v>2056</v>
      </c>
    </row>
    <row r="346" spans="1:2">
      <c r="A346" s="95" t="s">
        <v>2057</v>
      </c>
      <c r="B346" s="96" t="s">
        <v>2058</v>
      </c>
    </row>
    <row r="347" spans="1:2">
      <c r="A347" s="93" t="s">
        <v>2059</v>
      </c>
      <c r="B347" s="94" t="s">
        <v>2060</v>
      </c>
    </row>
    <row r="348" spans="1:2">
      <c r="A348" s="95" t="s">
        <v>2061</v>
      </c>
      <c r="B348" s="96" t="s">
        <v>2062</v>
      </c>
    </row>
    <row r="349" spans="1:2" ht="36">
      <c r="A349" s="93" t="s">
        <v>2063</v>
      </c>
      <c r="B349" s="94" t="s">
        <v>2064</v>
      </c>
    </row>
    <row r="350" spans="1:2" ht="24">
      <c r="A350" s="95" t="s">
        <v>2065</v>
      </c>
      <c r="B350" s="96" t="s">
        <v>2066</v>
      </c>
    </row>
    <row r="351" spans="1:2">
      <c r="A351" s="93" t="s">
        <v>2067</v>
      </c>
      <c r="B351" s="94" t="s">
        <v>2068</v>
      </c>
    </row>
    <row r="352" spans="1:2" ht="24">
      <c r="A352" s="95" t="s">
        <v>2069</v>
      </c>
      <c r="B352" s="96" t="s">
        <v>2070</v>
      </c>
    </row>
    <row r="353" spans="1:2">
      <c r="A353" s="93" t="s">
        <v>2071</v>
      </c>
      <c r="B353" s="94" t="s">
        <v>2072</v>
      </c>
    </row>
    <row r="354" spans="1:2" ht="24">
      <c r="A354" s="95" t="s">
        <v>2073</v>
      </c>
      <c r="B354" s="96" t="s">
        <v>2074</v>
      </c>
    </row>
    <row r="355" spans="1:2">
      <c r="A355" s="93" t="s">
        <v>2075</v>
      </c>
      <c r="B355" s="94" t="s">
        <v>2076</v>
      </c>
    </row>
    <row r="356" spans="1:2">
      <c r="A356" s="95" t="s">
        <v>2077</v>
      </c>
      <c r="B356" s="96" t="s">
        <v>2078</v>
      </c>
    </row>
    <row r="357" spans="1:2" ht="24">
      <c r="A357" s="93" t="s">
        <v>2079</v>
      </c>
      <c r="B357" s="94" t="s">
        <v>2080</v>
      </c>
    </row>
    <row r="358" spans="1:2" ht="36">
      <c r="A358" s="95" t="s">
        <v>2081</v>
      </c>
      <c r="B358" s="96" t="s">
        <v>2082</v>
      </c>
    </row>
    <row r="359" spans="1:2" ht="48">
      <c r="A359" s="93" t="s">
        <v>2083</v>
      </c>
      <c r="B359" s="94" t="s">
        <v>2084</v>
      </c>
    </row>
    <row r="360" spans="1:2">
      <c r="A360" s="95" t="s">
        <v>2085</v>
      </c>
      <c r="B360" s="96" t="s">
        <v>2086</v>
      </c>
    </row>
    <row r="361" spans="1:2">
      <c r="A361" s="93" t="s">
        <v>2087</v>
      </c>
      <c r="B361" s="94" t="s">
        <v>2088</v>
      </c>
    </row>
    <row r="362" spans="1:2">
      <c r="A362" s="95" t="s">
        <v>2089</v>
      </c>
      <c r="B362" s="96" t="s">
        <v>1606</v>
      </c>
    </row>
    <row r="363" spans="1:2">
      <c r="A363" s="93" t="s">
        <v>2090</v>
      </c>
      <c r="B363" s="94" t="s">
        <v>2091</v>
      </c>
    </row>
    <row r="364" spans="1:2">
      <c r="A364" s="95" t="s">
        <v>2092</v>
      </c>
      <c r="B364" s="96" t="s">
        <v>2093</v>
      </c>
    </row>
    <row r="365" spans="1:2">
      <c r="A365" s="93" t="s">
        <v>2094</v>
      </c>
      <c r="B365" s="94" t="s">
        <v>1402</v>
      </c>
    </row>
    <row r="366" spans="1:2">
      <c r="A366" s="95" t="s">
        <v>2095</v>
      </c>
      <c r="B366" s="96" t="s">
        <v>2096</v>
      </c>
    </row>
    <row r="367" spans="1:2">
      <c r="A367" s="93" t="s">
        <v>2097</v>
      </c>
      <c r="B367" s="94" t="s">
        <v>2098</v>
      </c>
    </row>
    <row r="368" spans="1:2" ht="24">
      <c r="A368" s="95" t="s">
        <v>2099</v>
      </c>
      <c r="B368" s="96" t="s">
        <v>2100</v>
      </c>
    </row>
    <row r="369" spans="1:2">
      <c r="A369" s="93" t="s">
        <v>2101</v>
      </c>
      <c r="B369" s="94" t="s">
        <v>2102</v>
      </c>
    </row>
    <row r="370" spans="1:2">
      <c r="A370" s="95" t="s">
        <v>2103</v>
      </c>
      <c r="B370" s="96" t="s">
        <v>2104</v>
      </c>
    </row>
    <row r="371" spans="1:2">
      <c r="A371" s="93" t="s">
        <v>2105</v>
      </c>
      <c r="B371" s="94" t="s">
        <v>2106</v>
      </c>
    </row>
    <row r="372" spans="1:2">
      <c r="A372" s="95" t="s">
        <v>2107</v>
      </c>
      <c r="B372" s="96" t="s">
        <v>2108</v>
      </c>
    </row>
    <row r="373" spans="1:2">
      <c r="A373" s="93" t="s">
        <v>2109</v>
      </c>
      <c r="B373" s="94" t="s">
        <v>2110</v>
      </c>
    </row>
    <row r="374" spans="1:2">
      <c r="A374" s="95" t="s">
        <v>2111</v>
      </c>
      <c r="B374" s="96" t="s">
        <v>2060</v>
      </c>
    </row>
    <row r="375" spans="1:2">
      <c r="A375" s="93" t="s">
        <v>2112</v>
      </c>
      <c r="B375" s="94" t="s">
        <v>2113</v>
      </c>
    </row>
    <row r="376" spans="1:2">
      <c r="A376" s="95" t="s">
        <v>2114</v>
      </c>
      <c r="B376" s="96" t="s">
        <v>2115</v>
      </c>
    </row>
    <row r="377" spans="1:2">
      <c r="A377" s="93" t="s">
        <v>2116</v>
      </c>
      <c r="B377" s="94" t="s">
        <v>2117</v>
      </c>
    </row>
    <row r="378" spans="1:2">
      <c r="A378" s="95" t="s">
        <v>2118</v>
      </c>
      <c r="B378" s="96" t="s">
        <v>2119</v>
      </c>
    </row>
    <row r="379" spans="1:2">
      <c r="A379" s="93" t="s">
        <v>2120</v>
      </c>
      <c r="B379" s="94" t="s">
        <v>2121</v>
      </c>
    </row>
    <row r="380" spans="1:2">
      <c r="A380" s="95" t="s">
        <v>2122</v>
      </c>
      <c r="B380" s="96" t="s">
        <v>2123</v>
      </c>
    </row>
    <row r="381" spans="1:2" ht="24">
      <c r="A381" s="93" t="s">
        <v>2124</v>
      </c>
      <c r="B381" s="94" t="s">
        <v>2125</v>
      </c>
    </row>
    <row r="382" spans="1:2" ht="24">
      <c r="A382" s="95" t="s">
        <v>2126</v>
      </c>
      <c r="B382" s="96" t="s">
        <v>2127</v>
      </c>
    </row>
    <row r="383" spans="1:2">
      <c r="A383" s="93" t="s">
        <v>2128</v>
      </c>
      <c r="B383" s="94" t="s">
        <v>2129</v>
      </c>
    </row>
    <row r="384" spans="1:2">
      <c r="A384" s="95" t="s">
        <v>2130</v>
      </c>
      <c r="B384" s="96" t="s">
        <v>1715</v>
      </c>
    </row>
    <row r="385" spans="1:2">
      <c r="A385" s="93" t="s">
        <v>2131</v>
      </c>
      <c r="B385" s="94" t="s">
        <v>2132</v>
      </c>
    </row>
    <row r="386" spans="1:2">
      <c r="A386" s="95" t="s">
        <v>2133</v>
      </c>
      <c r="B386" s="96" t="s">
        <v>1888</v>
      </c>
    </row>
    <row r="387" spans="1:2">
      <c r="A387" s="93" t="s">
        <v>2134</v>
      </c>
      <c r="B387" s="94" t="s">
        <v>2135</v>
      </c>
    </row>
    <row r="388" spans="1:2">
      <c r="A388" s="95" t="s">
        <v>2136</v>
      </c>
      <c r="B388" s="96" t="s">
        <v>2137</v>
      </c>
    </row>
    <row r="389" spans="1:2" ht="24">
      <c r="A389" s="93" t="s">
        <v>2138</v>
      </c>
      <c r="B389" s="94" t="s">
        <v>2139</v>
      </c>
    </row>
    <row r="390" spans="1:2" ht="24">
      <c r="A390" s="95" t="s">
        <v>2140</v>
      </c>
      <c r="B390" s="96" t="s">
        <v>2141</v>
      </c>
    </row>
    <row r="391" spans="1:2">
      <c r="A391" s="93" t="s">
        <v>2142</v>
      </c>
      <c r="B391" s="94" t="s">
        <v>2143</v>
      </c>
    </row>
    <row r="392" spans="1:2">
      <c r="A392" s="95" t="s">
        <v>2144</v>
      </c>
      <c r="B392" s="96" t="s">
        <v>2145</v>
      </c>
    </row>
    <row r="393" spans="1:2" ht="24">
      <c r="A393" s="93" t="s">
        <v>2146</v>
      </c>
      <c r="B393" s="94" t="s">
        <v>2147</v>
      </c>
    </row>
    <row r="394" spans="1:2" ht="36">
      <c r="A394" s="95" t="s">
        <v>2148</v>
      </c>
      <c r="B394" s="96" t="s">
        <v>2149</v>
      </c>
    </row>
    <row r="395" spans="1:2" ht="24">
      <c r="A395" s="93" t="s">
        <v>2150</v>
      </c>
      <c r="B395" s="94" t="s">
        <v>1743</v>
      </c>
    </row>
    <row r="396" spans="1:2">
      <c r="A396" s="95" t="s">
        <v>2151</v>
      </c>
      <c r="B396" s="96" t="s">
        <v>2152</v>
      </c>
    </row>
    <row r="397" spans="1:2" ht="24">
      <c r="A397" s="93" t="s">
        <v>2153</v>
      </c>
      <c r="B397" s="94" t="s">
        <v>2154</v>
      </c>
    </row>
    <row r="398" spans="1:2">
      <c r="A398" s="95" t="s">
        <v>2155</v>
      </c>
      <c r="B398" s="96" t="s">
        <v>2156</v>
      </c>
    </row>
    <row r="399" spans="1:2">
      <c r="A399" s="93" t="s">
        <v>2157</v>
      </c>
      <c r="B399" s="94" t="s">
        <v>2158</v>
      </c>
    </row>
    <row r="400" spans="1:2">
      <c r="A400" s="95" t="s">
        <v>2159</v>
      </c>
      <c r="B400" s="96" t="s">
        <v>2160</v>
      </c>
    </row>
    <row r="401" spans="1:2">
      <c r="A401" s="93" t="s">
        <v>2161</v>
      </c>
      <c r="B401" s="94" t="s">
        <v>2162</v>
      </c>
    </row>
    <row r="402" spans="1:2">
      <c r="A402" s="95" t="s">
        <v>2163</v>
      </c>
      <c r="B402" s="96" t="s">
        <v>2164</v>
      </c>
    </row>
    <row r="403" spans="1:2">
      <c r="A403" s="93" t="s">
        <v>2165</v>
      </c>
      <c r="B403" s="94" t="s">
        <v>2166</v>
      </c>
    </row>
    <row r="404" spans="1:2">
      <c r="A404" s="95" t="s">
        <v>2167</v>
      </c>
      <c r="B404" s="96" t="s">
        <v>2168</v>
      </c>
    </row>
    <row r="405" spans="1:2" ht="24">
      <c r="A405" s="93" t="s">
        <v>2169</v>
      </c>
      <c r="B405" s="94" t="s">
        <v>2170</v>
      </c>
    </row>
    <row r="406" spans="1:2">
      <c r="A406" s="95" t="s">
        <v>2171</v>
      </c>
      <c r="B406" s="96" t="s">
        <v>2172</v>
      </c>
    </row>
    <row r="407" spans="1:2" ht="24">
      <c r="A407" s="93" t="s">
        <v>2173</v>
      </c>
      <c r="B407" s="94" t="s">
        <v>2174</v>
      </c>
    </row>
    <row r="408" spans="1:2">
      <c r="A408" s="95" t="s">
        <v>2175</v>
      </c>
      <c r="B408" s="96" t="s">
        <v>2176</v>
      </c>
    </row>
    <row r="409" spans="1:2">
      <c r="A409" s="93" t="s">
        <v>2177</v>
      </c>
      <c r="B409" s="94" t="s">
        <v>2178</v>
      </c>
    </row>
    <row r="410" spans="1:2">
      <c r="A410" s="95" t="s">
        <v>2179</v>
      </c>
      <c r="B410" s="96" t="s">
        <v>2180</v>
      </c>
    </row>
    <row r="411" spans="1:2" ht="24">
      <c r="A411" s="93" t="s">
        <v>2181</v>
      </c>
      <c r="B411" s="94" t="s">
        <v>2182</v>
      </c>
    </row>
    <row r="412" spans="1:2" ht="24">
      <c r="A412" s="95" t="s">
        <v>2183</v>
      </c>
      <c r="B412" s="96" t="s">
        <v>2184</v>
      </c>
    </row>
    <row r="413" spans="1:2">
      <c r="A413" s="93" t="s">
        <v>2185</v>
      </c>
      <c r="B413" s="94" t="s">
        <v>2186</v>
      </c>
    </row>
    <row r="414" spans="1:2">
      <c r="A414" s="95" t="s">
        <v>2187</v>
      </c>
      <c r="B414" s="96" t="s">
        <v>2188</v>
      </c>
    </row>
    <row r="415" spans="1:2">
      <c r="A415" s="93" t="s">
        <v>2189</v>
      </c>
      <c r="B415" s="94" t="s">
        <v>2190</v>
      </c>
    </row>
    <row r="416" spans="1:2">
      <c r="A416" s="95" t="s">
        <v>2191</v>
      </c>
      <c r="B416" s="96" t="s">
        <v>2192</v>
      </c>
    </row>
    <row r="417" spans="1:2">
      <c r="A417" s="93" t="s">
        <v>2193</v>
      </c>
      <c r="B417" s="94" t="s">
        <v>2194</v>
      </c>
    </row>
    <row r="418" spans="1:2">
      <c r="A418" s="95" t="s">
        <v>2195</v>
      </c>
      <c r="B418" s="96" t="s">
        <v>2196</v>
      </c>
    </row>
    <row r="419" spans="1:2" ht="24">
      <c r="A419" s="93" t="s">
        <v>2197</v>
      </c>
      <c r="B419" s="94" t="s">
        <v>2198</v>
      </c>
    </row>
    <row r="420" spans="1:2" ht="36">
      <c r="A420" s="95" t="s">
        <v>2199</v>
      </c>
      <c r="B420" s="96" t="s">
        <v>2200</v>
      </c>
    </row>
    <row r="421" spans="1:2">
      <c r="A421" s="93" t="s">
        <v>2201</v>
      </c>
      <c r="B421" s="94" t="s">
        <v>2202</v>
      </c>
    </row>
    <row r="422" spans="1:2">
      <c r="A422" s="95" t="s">
        <v>2203</v>
      </c>
      <c r="B422" s="96" t="s">
        <v>2204</v>
      </c>
    </row>
    <row r="423" spans="1:2" ht="24">
      <c r="A423" s="93" t="s">
        <v>2205</v>
      </c>
      <c r="B423" s="94" t="s">
        <v>2206</v>
      </c>
    </row>
    <row r="424" spans="1:2">
      <c r="A424" s="95" t="s">
        <v>2207</v>
      </c>
      <c r="B424" s="96" t="s">
        <v>2208</v>
      </c>
    </row>
    <row r="425" spans="1:2">
      <c r="A425" s="93" t="s">
        <v>2209</v>
      </c>
      <c r="B425" s="94" t="s">
        <v>2210</v>
      </c>
    </row>
    <row r="426" spans="1:2" ht="24">
      <c r="A426" s="95" t="s">
        <v>2211</v>
      </c>
      <c r="B426" s="96" t="s">
        <v>2212</v>
      </c>
    </row>
    <row r="427" spans="1:2">
      <c r="A427" s="93" t="s">
        <v>2213</v>
      </c>
      <c r="B427" s="94" t="s">
        <v>2214</v>
      </c>
    </row>
    <row r="428" spans="1:2">
      <c r="A428" s="95" t="s">
        <v>2215</v>
      </c>
      <c r="B428" s="96" t="s">
        <v>2216</v>
      </c>
    </row>
    <row r="429" spans="1:2" ht="24">
      <c r="A429" s="93" t="s">
        <v>2217</v>
      </c>
      <c r="B429" s="94" t="s">
        <v>2218</v>
      </c>
    </row>
    <row r="430" spans="1:2">
      <c r="A430" s="95" t="s">
        <v>2219</v>
      </c>
      <c r="B430" s="96" t="s">
        <v>2220</v>
      </c>
    </row>
    <row r="431" spans="1:2">
      <c r="A431" s="93" t="s">
        <v>2221</v>
      </c>
      <c r="B431" s="94" t="s">
        <v>2222</v>
      </c>
    </row>
    <row r="432" spans="1:2">
      <c r="A432" s="95" t="s">
        <v>2223</v>
      </c>
      <c r="B432" s="96" t="s">
        <v>1782</v>
      </c>
    </row>
    <row r="433" spans="1:2">
      <c r="A433" s="93" t="s">
        <v>2224</v>
      </c>
      <c r="B433" s="94" t="s">
        <v>2225</v>
      </c>
    </row>
    <row r="434" spans="1:2">
      <c r="A434" s="95" t="s">
        <v>2226</v>
      </c>
      <c r="B434" s="96" t="s">
        <v>2227</v>
      </c>
    </row>
    <row r="435" spans="1:2">
      <c r="A435" s="93" t="s">
        <v>2228</v>
      </c>
      <c r="B435" s="94" t="s">
        <v>2229</v>
      </c>
    </row>
    <row r="436" spans="1:2">
      <c r="A436" s="95" t="s">
        <v>2230</v>
      </c>
      <c r="B436" s="96" t="s">
        <v>2231</v>
      </c>
    </row>
    <row r="437" spans="1:2" ht="24">
      <c r="A437" s="93" t="s">
        <v>2232</v>
      </c>
      <c r="B437" s="94" t="s">
        <v>2233</v>
      </c>
    </row>
    <row r="438" spans="1:2">
      <c r="A438" s="95" t="s">
        <v>2234</v>
      </c>
      <c r="B438" s="96" t="s">
        <v>2235</v>
      </c>
    </row>
    <row r="439" spans="1:2" ht="24">
      <c r="A439" s="93" t="s">
        <v>2236</v>
      </c>
      <c r="B439" s="94" t="s">
        <v>2237</v>
      </c>
    </row>
    <row r="440" spans="1:2">
      <c r="A440" s="95" t="s">
        <v>2238</v>
      </c>
      <c r="B440" s="96" t="s">
        <v>2239</v>
      </c>
    </row>
    <row r="441" spans="1:2" ht="24">
      <c r="A441" s="93" t="s">
        <v>2240</v>
      </c>
      <c r="B441" s="94" t="s">
        <v>2241</v>
      </c>
    </row>
    <row r="442" spans="1:2">
      <c r="A442" s="95" t="s">
        <v>2242</v>
      </c>
      <c r="B442" s="96" t="s">
        <v>2243</v>
      </c>
    </row>
    <row r="443" spans="1:2" ht="24">
      <c r="A443" s="93" t="s">
        <v>2244</v>
      </c>
      <c r="B443" s="94" t="s">
        <v>2245</v>
      </c>
    </row>
    <row r="444" spans="1:2">
      <c r="A444" s="95" t="s">
        <v>2246</v>
      </c>
      <c r="B444" s="96" t="s">
        <v>2247</v>
      </c>
    </row>
    <row r="445" spans="1:2" ht="24">
      <c r="A445" s="93" t="s">
        <v>2248</v>
      </c>
      <c r="B445" s="94" t="s">
        <v>2249</v>
      </c>
    </row>
    <row r="446" spans="1:2" ht="24">
      <c r="A446" s="95" t="s">
        <v>2250</v>
      </c>
      <c r="B446" s="96" t="s">
        <v>2251</v>
      </c>
    </row>
    <row r="447" spans="1:2" ht="24">
      <c r="A447" s="93" t="s">
        <v>2252</v>
      </c>
      <c r="B447" s="94" t="s">
        <v>2253</v>
      </c>
    </row>
    <row r="448" spans="1:2" ht="36">
      <c r="A448" s="95" t="s">
        <v>2254</v>
      </c>
      <c r="B448" s="96" t="s">
        <v>2255</v>
      </c>
    </row>
    <row r="449" spans="1:2" ht="48">
      <c r="A449" s="93" t="s">
        <v>2256</v>
      </c>
      <c r="B449" s="94" t="s">
        <v>2257</v>
      </c>
    </row>
    <row r="450" spans="1:2">
      <c r="A450" s="95" t="s">
        <v>2258</v>
      </c>
      <c r="B450" s="96" t="s">
        <v>2259</v>
      </c>
    </row>
    <row r="451" spans="1:2" ht="36">
      <c r="A451" s="93" t="s">
        <v>2260</v>
      </c>
      <c r="B451" s="94" t="s">
        <v>2261</v>
      </c>
    </row>
    <row r="452" spans="1:2" ht="24">
      <c r="A452" s="95" t="s">
        <v>2262</v>
      </c>
      <c r="B452" s="96" t="s">
        <v>2263</v>
      </c>
    </row>
    <row r="453" spans="1:2" ht="36">
      <c r="A453" s="93" t="s">
        <v>2264</v>
      </c>
      <c r="B453" s="94" t="s">
        <v>2265</v>
      </c>
    </row>
    <row r="454" spans="1:2" ht="24">
      <c r="A454" s="95" t="s">
        <v>2266</v>
      </c>
      <c r="B454" s="96" t="s">
        <v>1552</v>
      </c>
    </row>
    <row r="455" spans="1:2" ht="24">
      <c r="A455" s="93" t="s">
        <v>2267</v>
      </c>
      <c r="B455" s="94" t="s">
        <v>2268</v>
      </c>
    </row>
    <row r="456" spans="1:2">
      <c r="A456" s="95" t="s">
        <v>2269</v>
      </c>
      <c r="B456" s="96" t="s">
        <v>2270</v>
      </c>
    </row>
    <row r="457" spans="1:2">
      <c r="A457" s="93" t="s">
        <v>2271</v>
      </c>
      <c r="B457" s="94" t="s">
        <v>2272</v>
      </c>
    </row>
    <row r="458" spans="1:2">
      <c r="A458" s="95" t="s">
        <v>2273</v>
      </c>
      <c r="B458" s="96" t="s">
        <v>2274</v>
      </c>
    </row>
    <row r="459" spans="1:2">
      <c r="A459" s="93" t="s">
        <v>2275</v>
      </c>
      <c r="B459" s="94" t="s">
        <v>2276</v>
      </c>
    </row>
    <row r="460" spans="1:2" ht="24">
      <c r="A460" s="95" t="s">
        <v>2277</v>
      </c>
      <c r="B460" s="96" t="s">
        <v>2278</v>
      </c>
    </row>
    <row r="461" spans="1:2">
      <c r="A461" s="93" t="s">
        <v>2279</v>
      </c>
      <c r="B461" s="94" t="s">
        <v>2280</v>
      </c>
    </row>
    <row r="462" spans="1:2">
      <c r="A462" s="95" t="s">
        <v>2281</v>
      </c>
      <c r="B462" s="96" t="s">
        <v>2282</v>
      </c>
    </row>
    <row r="463" spans="1:2">
      <c r="A463" s="93" t="s">
        <v>2283</v>
      </c>
      <c r="B463" s="94" t="s">
        <v>2284</v>
      </c>
    </row>
    <row r="464" spans="1:2">
      <c r="A464" s="95" t="s">
        <v>2285</v>
      </c>
      <c r="B464" s="96" t="s">
        <v>2286</v>
      </c>
    </row>
    <row r="465" spans="1:2">
      <c r="A465" s="93" t="s">
        <v>2287</v>
      </c>
      <c r="B465" s="94" t="s">
        <v>2288</v>
      </c>
    </row>
    <row r="466" spans="1:2">
      <c r="A466" s="95" t="s">
        <v>2289</v>
      </c>
      <c r="B466" s="96" t="s">
        <v>2290</v>
      </c>
    </row>
    <row r="467" spans="1:2">
      <c r="A467" s="93" t="s">
        <v>2291</v>
      </c>
      <c r="B467" s="94" t="s">
        <v>2292</v>
      </c>
    </row>
    <row r="468" spans="1:2">
      <c r="A468" s="95" t="s">
        <v>2293</v>
      </c>
      <c r="B468" s="96" t="s">
        <v>2294</v>
      </c>
    </row>
    <row r="469" spans="1:2">
      <c r="A469" s="93" t="s">
        <v>2295</v>
      </c>
      <c r="B469" s="94" t="s">
        <v>2296</v>
      </c>
    </row>
    <row r="470" spans="1:2">
      <c r="A470" s="95" t="s">
        <v>2297</v>
      </c>
      <c r="B470" s="96" t="s">
        <v>2298</v>
      </c>
    </row>
    <row r="471" spans="1:2">
      <c r="A471" s="93" t="s">
        <v>2299</v>
      </c>
      <c r="B471" s="94" t="s">
        <v>2300</v>
      </c>
    </row>
    <row r="472" spans="1:2">
      <c r="A472" s="95" t="s">
        <v>2301</v>
      </c>
      <c r="B472" s="96" t="s">
        <v>2302</v>
      </c>
    </row>
    <row r="473" spans="1:2" ht="24">
      <c r="A473" s="93" t="s">
        <v>2303</v>
      </c>
      <c r="B473" s="94" t="s">
        <v>2304</v>
      </c>
    </row>
    <row r="474" spans="1:2">
      <c r="A474" s="95" t="s">
        <v>2305</v>
      </c>
      <c r="B474" s="96" t="s">
        <v>2306</v>
      </c>
    </row>
    <row r="475" spans="1:2">
      <c r="A475" s="93" t="s">
        <v>2307</v>
      </c>
      <c r="B475" s="94" t="s">
        <v>2308</v>
      </c>
    </row>
    <row r="476" spans="1:2">
      <c r="A476" s="95" t="s">
        <v>2309</v>
      </c>
      <c r="B476" s="96" t="s">
        <v>2310</v>
      </c>
    </row>
    <row r="477" spans="1:2">
      <c r="A477" s="93" t="s">
        <v>2311</v>
      </c>
      <c r="B477" s="94" t="s">
        <v>2312</v>
      </c>
    </row>
    <row r="478" spans="1:2">
      <c r="A478" s="95" t="s">
        <v>2313</v>
      </c>
      <c r="B478" s="96" t="s">
        <v>2314</v>
      </c>
    </row>
    <row r="479" spans="1:2">
      <c r="A479" s="93" t="s">
        <v>2315</v>
      </c>
      <c r="B479" s="94" t="s">
        <v>2316</v>
      </c>
    </row>
    <row r="480" spans="1:2">
      <c r="A480" s="95" t="s">
        <v>2317</v>
      </c>
      <c r="B480" s="96" t="s">
        <v>2318</v>
      </c>
    </row>
    <row r="481" spans="1:2">
      <c r="A481" s="93" t="s">
        <v>2319</v>
      </c>
      <c r="B481" s="94" t="s">
        <v>2320</v>
      </c>
    </row>
    <row r="482" spans="1:2">
      <c r="A482" s="95" t="s">
        <v>2321</v>
      </c>
      <c r="B482" s="96" t="s">
        <v>2322</v>
      </c>
    </row>
    <row r="483" spans="1:2">
      <c r="A483" s="93" t="s">
        <v>2323</v>
      </c>
      <c r="B483" s="94" t="s">
        <v>1699</v>
      </c>
    </row>
    <row r="484" spans="1:2">
      <c r="A484" s="95" t="s">
        <v>2324</v>
      </c>
      <c r="B484" s="96" t="s">
        <v>2325</v>
      </c>
    </row>
    <row r="485" spans="1:2">
      <c r="A485" s="93" t="s">
        <v>2326</v>
      </c>
      <c r="B485" s="94" t="s">
        <v>2327</v>
      </c>
    </row>
    <row r="486" spans="1:2">
      <c r="A486" s="95" t="s">
        <v>2328</v>
      </c>
      <c r="B486" s="96" t="s">
        <v>2329</v>
      </c>
    </row>
    <row r="487" spans="1:2">
      <c r="A487" s="93" t="s">
        <v>2330</v>
      </c>
      <c r="B487" s="94" t="s">
        <v>2331</v>
      </c>
    </row>
    <row r="488" spans="1:2">
      <c r="A488" s="95" t="s">
        <v>2332</v>
      </c>
      <c r="B488" s="96" t="s">
        <v>2333</v>
      </c>
    </row>
    <row r="489" spans="1:2">
      <c r="A489" s="93" t="s">
        <v>2334</v>
      </c>
      <c r="B489" s="94" t="s">
        <v>2335</v>
      </c>
    </row>
    <row r="490" spans="1:2" ht="24">
      <c r="A490" s="95" t="s">
        <v>2336</v>
      </c>
      <c r="B490" s="96" t="s">
        <v>2337</v>
      </c>
    </row>
    <row r="491" spans="1:2">
      <c r="A491" s="93" t="s">
        <v>2338</v>
      </c>
      <c r="B491" s="94" t="s">
        <v>2339</v>
      </c>
    </row>
    <row r="492" spans="1:2" ht="24">
      <c r="A492" s="95" t="s">
        <v>2340</v>
      </c>
      <c r="B492" s="96" t="s">
        <v>2341</v>
      </c>
    </row>
    <row r="493" spans="1:2">
      <c r="A493" s="93" t="s">
        <v>2342</v>
      </c>
      <c r="B493" s="94" t="s">
        <v>2343</v>
      </c>
    </row>
    <row r="494" spans="1:2">
      <c r="A494" s="95" t="s">
        <v>2344</v>
      </c>
      <c r="B494" s="96" t="s">
        <v>2345</v>
      </c>
    </row>
    <row r="495" spans="1:2">
      <c r="A495" s="93" t="s">
        <v>2346</v>
      </c>
      <c r="B495" s="94" t="s">
        <v>2347</v>
      </c>
    </row>
    <row r="496" spans="1:2">
      <c r="A496" s="95" t="s">
        <v>2348</v>
      </c>
      <c r="B496" s="96" t="s">
        <v>1478</v>
      </c>
    </row>
    <row r="497" spans="1:2">
      <c r="A497" s="93" t="s">
        <v>2349</v>
      </c>
      <c r="B497" s="94" t="s">
        <v>2350</v>
      </c>
    </row>
    <row r="498" spans="1:2">
      <c r="A498" s="95" t="s">
        <v>2351</v>
      </c>
      <c r="B498" s="96" t="s">
        <v>2352</v>
      </c>
    </row>
    <row r="499" spans="1:2">
      <c r="A499" s="93" t="s">
        <v>2353</v>
      </c>
      <c r="B499" s="94" t="s">
        <v>2354</v>
      </c>
    </row>
    <row r="500" spans="1:2">
      <c r="A500" s="95" t="s">
        <v>2355</v>
      </c>
      <c r="B500" s="96" t="s">
        <v>2356</v>
      </c>
    </row>
    <row r="501" spans="1:2">
      <c r="A501" s="93" t="s">
        <v>2357</v>
      </c>
      <c r="B501" s="94" t="s">
        <v>2358</v>
      </c>
    </row>
    <row r="502" spans="1:2" ht="24">
      <c r="A502" s="95" t="s">
        <v>2359</v>
      </c>
      <c r="B502" s="96" t="s">
        <v>2360</v>
      </c>
    </row>
    <row r="503" spans="1:2" ht="24">
      <c r="A503" s="93" t="s">
        <v>2361</v>
      </c>
      <c r="B503" s="94" t="s">
        <v>2362</v>
      </c>
    </row>
    <row r="504" spans="1:2">
      <c r="A504" s="95" t="s">
        <v>2363</v>
      </c>
      <c r="B504" s="96" t="s">
        <v>2364</v>
      </c>
    </row>
    <row r="505" spans="1:2">
      <c r="A505" s="93" t="s">
        <v>2365</v>
      </c>
      <c r="B505" s="94" t="s">
        <v>2366</v>
      </c>
    </row>
    <row r="506" spans="1:2">
      <c r="A506" s="95" t="s">
        <v>2367</v>
      </c>
      <c r="B506" s="96" t="s">
        <v>2368</v>
      </c>
    </row>
    <row r="507" spans="1:2">
      <c r="A507" s="93" t="s">
        <v>2369</v>
      </c>
      <c r="B507" s="94" t="s">
        <v>2370</v>
      </c>
    </row>
    <row r="508" spans="1:2">
      <c r="A508" s="95" t="s">
        <v>2371</v>
      </c>
      <c r="B508" s="96" t="s">
        <v>2372</v>
      </c>
    </row>
    <row r="509" spans="1:2">
      <c r="A509" s="93" t="s">
        <v>2373</v>
      </c>
      <c r="B509" s="94" t="s">
        <v>2374</v>
      </c>
    </row>
    <row r="510" spans="1:2">
      <c r="A510" s="95" t="s">
        <v>2375</v>
      </c>
      <c r="B510" s="96" t="s">
        <v>2376</v>
      </c>
    </row>
    <row r="511" spans="1:2">
      <c r="A511" s="93" t="s">
        <v>2377</v>
      </c>
      <c r="B511" s="94" t="s">
        <v>2123</v>
      </c>
    </row>
    <row r="512" spans="1:2" ht="24">
      <c r="A512" s="95" t="s">
        <v>2378</v>
      </c>
      <c r="B512" s="96" t="s">
        <v>2379</v>
      </c>
    </row>
    <row r="513" spans="1:2">
      <c r="A513" s="93" t="s">
        <v>2380</v>
      </c>
      <c r="B513" s="94" t="s">
        <v>2381</v>
      </c>
    </row>
    <row r="514" spans="1:2">
      <c r="A514" s="95" t="s">
        <v>2382</v>
      </c>
      <c r="B514" s="96" t="s">
        <v>2383</v>
      </c>
    </row>
    <row r="515" spans="1:2">
      <c r="A515" s="93" t="s">
        <v>2384</v>
      </c>
      <c r="B515" s="94" t="s">
        <v>2385</v>
      </c>
    </row>
    <row r="516" spans="1:2">
      <c r="A516" s="95" t="s">
        <v>2386</v>
      </c>
      <c r="B516" s="96" t="s">
        <v>2387</v>
      </c>
    </row>
    <row r="517" spans="1:2">
      <c r="A517" s="93" t="s">
        <v>2388</v>
      </c>
      <c r="B517" s="94" t="s">
        <v>2389</v>
      </c>
    </row>
    <row r="518" spans="1:2">
      <c r="A518" s="95" t="s">
        <v>2390</v>
      </c>
      <c r="B518" s="96" t="s">
        <v>1518</v>
      </c>
    </row>
    <row r="519" spans="1:2">
      <c r="A519" s="93" t="s">
        <v>2391</v>
      </c>
      <c r="B519" s="94" t="s">
        <v>2392</v>
      </c>
    </row>
    <row r="520" spans="1:2">
      <c r="A520" s="95" t="s">
        <v>2393</v>
      </c>
      <c r="B520" s="96" t="s">
        <v>2394</v>
      </c>
    </row>
    <row r="521" spans="1:2">
      <c r="A521" s="93" t="s">
        <v>2395</v>
      </c>
      <c r="B521" s="94" t="s">
        <v>2396</v>
      </c>
    </row>
    <row r="522" spans="1:2">
      <c r="A522" s="95" t="s">
        <v>2397</v>
      </c>
      <c r="B522" s="96" t="s">
        <v>2398</v>
      </c>
    </row>
    <row r="523" spans="1:2">
      <c r="A523" s="93" t="s">
        <v>2399</v>
      </c>
      <c r="B523" s="94" t="s">
        <v>1610</v>
      </c>
    </row>
    <row r="524" spans="1:2">
      <c r="A524" s="95" t="s">
        <v>2400</v>
      </c>
      <c r="B524" s="96" t="s">
        <v>2401</v>
      </c>
    </row>
    <row r="525" spans="1:2">
      <c r="A525" s="93" t="s">
        <v>2402</v>
      </c>
      <c r="B525" s="94" t="s">
        <v>2403</v>
      </c>
    </row>
    <row r="526" spans="1:2">
      <c r="A526" s="95" t="s">
        <v>2404</v>
      </c>
      <c r="B526" s="96" t="s">
        <v>2405</v>
      </c>
    </row>
    <row r="527" spans="1:2" ht="24">
      <c r="A527" s="93" t="s">
        <v>2406</v>
      </c>
      <c r="B527" s="94" t="s">
        <v>2407</v>
      </c>
    </row>
    <row r="528" spans="1:2">
      <c r="A528" s="95" t="s">
        <v>2408</v>
      </c>
      <c r="B528" s="96" t="s">
        <v>2409</v>
      </c>
    </row>
    <row r="529" spans="1:2" ht="24">
      <c r="A529" s="93" t="s">
        <v>2410</v>
      </c>
      <c r="B529" s="94" t="s">
        <v>2411</v>
      </c>
    </row>
    <row r="530" spans="1:2">
      <c r="A530" s="95" t="s">
        <v>2412</v>
      </c>
      <c r="B530" s="96" t="s">
        <v>2413</v>
      </c>
    </row>
    <row r="531" spans="1:2" ht="24">
      <c r="A531" s="93" t="s">
        <v>2414</v>
      </c>
      <c r="B531" s="94" t="s">
        <v>2415</v>
      </c>
    </row>
    <row r="532" spans="1:2">
      <c r="A532" s="95" t="s">
        <v>2416</v>
      </c>
      <c r="B532" s="96" t="s">
        <v>2417</v>
      </c>
    </row>
    <row r="533" spans="1:2">
      <c r="A533" s="93" t="s">
        <v>2418</v>
      </c>
      <c r="B533" s="94" t="s">
        <v>2419</v>
      </c>
    </row>
    <row r="534" spans="1:2">
      <c r="A534" s="95" t="s">
        <v>2420</v>
      </c>
      <c r="B534" s="96" t="s">
        <v>2421</v>
      </c>
    </row>
    <row r="535" spans="1:2">
      <c r="A535" s="93" t="s">
        <v>2422</v>
      </c>
      <c r="B535" s="94" t="s">
        <v>2423</v>
      </c>
    </row>
    <row r="536" spans="1:2" ht="60">
      <c r="A536" s="95" t="s">
        <v>2424</v>
      </c>
      <c r="B536" s="96" t="s">
        <v>2425</v>
      </c>
    </row>
    <row r="537" spans="1:2" ht="24">
      <c r="A537" s="93" t="s">
        <v>2426</v>
      </c>
      <c r="B537" s="94" t="s">
        <v>2427</v>
      </c>
    </row>
    <row r="538" spans="1:2" ht="24">
      <c r="A538" s="95" t="s">
        <v>2428</v>
      </c>
      <c r="B538" s="96" t="s">
        <v>2429</v>
      </c>
    </row>
    <row r="539" spans="1:2" ht="24">
      <c r="A539" s="93" t="s">
        <v>2430</v>
      </c>
      <c r="B539" s="94" t="s">
        <v>1554</v>
      </c>
    </row>
    <row r="540" spans="1:2" ht="36">
      <c r="A540" s="95" t="s">
        <v>2431</v>
      </c>
      <c r="B540" s="96" t="s">
        <v>2432</v>
      </c>
    </row>
    <row r="541" spans="1:2">
      <c r="A541" s="93" t="s">
        <v>2433</v>
      </c>
      <c r="B541" s="94" t="s">
        <v>2434</v>
      </c>
    </row>
    <row r="542" spans="1:2">
      <c r="A542" s="95" t="s">
        <v>2435</v>
      </c>
      <c r="B542" s="96" t="s">
        <v>2436</v>
      </c>
    </row>
    <row r="543" spans="1:2">
      <c r="A543" s="93" t="s">
        <v>2437</v>
      </c>
      <c r="B543" s="94" t="s">
        <v>2438</v>
      </c>
    </row>
    <row r="544" spans="1:2">
      <c r="A544" s="95" t="s">
        <v>2439</v>
      </c>
      <c r="B544" s="96" t="s">
        <v>2440</v>
      </c>
    </row>
    <row r="545" spans="1:2">
      <c r="A545" s="93" t="s">
        <v>2441</v>
      </c>
      <c r="B545" s="94" t="s">
        <v>2442</v>
      </c>
    </row>
    <row r="546" spans="1:2">
      <c r="A546" s="95" t="s">
        <v>2443</v>
      </c>
      <c r="B546" s="96" t="s">
        <v>2444</v>
      </c>
    </row>
    <row r="547" spans="1:2">
      <c r="A547" s="93" t="s">
        <v>2445</v>
      </c>
      <c r="B547" s="94" t="s">
        <v>2446</v>
      </c>
    </row>
    <row r="548" spans="1:2" ht="24">
      <c r="A548" s="95" t="s">
        <v>2447</v>
      </c>
      <c r="B548" s="96" t="s">
        <v>2448</v>
      </c>
    </row>
    <row r="549" spans="1:2">
      <c r="A549" s="93" t="s">
        <v>2449</v>
      </c>
      <c r="B549" s="94" t="s">
        <v>2450</v>
      </c>
    </row>
    <row r="550" spans="1:2">
      <c r="A550" s="95" t="s">
        <v>2451</v>
      </c>
      <c r="B550" s="96" t="s">
        <v>2452</v>
      </c>
    </row>
    <row r="551" spans="1:2">
      <c r="A551" s="93" t="s">
        <v>2453</v>
      </c>
      <c r="B551" s="94" t="s">
        <v>2454</v>
      </c>
    </row>
    <row r="552" spans="1:2">
      <c r="A552" s="95" t="s">
        <v>2455</v>
      </c>
      <c r="B552" s="96" t="s">
        <v>2456</v>
      </c>
    </row>
    <row r="553" spans="1:2">
      <c r="A553" s="93" t="s">
        <v>2457</v>
      </c>
      <c r="B553" s="94" t="s">
        <v>2458</v>
      </c>
    </row>
    <row r="554" spans="1:2">
      <c r="A554" s="95" t="s">
        <v>2459</v>
      </c>
      <c r="B554" s="96" t="s">
        <v>2460</v>
      </c>
    </row>
    <row r="555" spans="1:2">
      <c r="A555" s="93" t="s">
        <v>2461</v>
      </c>
      <c r="B555" s="94" t="s">
        <v>2462</v>
      </c>
    </row>
    <row r="556" spans="1:2">
      <c r="A556" s="95" t="s">
        <v>2463</v>
      </c>
      <c r="B556" s="96" t="s">
        <v>2464</v>
      </c>
    </row>
    <row r="557" spans="1:2">
      <c r="A557" s="93" t="s">
        <v>2465</v>
      </c>
      <c r="B557" s="94" t="s">
        <v>2466</v>
      </c>
    </row>
    <row r="558" spans="1:2">
      <c r="A558" s="95" t="s">
        <v>2467</v>
      </c>
      <c r="B558" s="96" t="s">
        <v>2468</v>
      </c>
    </row>
    <row r="559" spans="1:2">
      <c r="A559" s="93" t="s">
        <v>2469</v>
      </c>
      <c r="B559" s="94" t="s">
        <v>2470</v>
      </c>
    </row>
    <row r="560" spans="1:2">
      <c r="A560" s="95" t="s">
        <v>2471</v>
      </c>
      <c r="B560" s="96" t="s">
        <v>2472</v>
      </c>
    </row>
    <row r="561" spans="1:2">
      <c r="A561" s="93" t="s">
        <v>2473</v>
      </c>
      <c r="B561" s="94" t="s">
        <v>2474</v>
      </c>
    </row>
    <row r="562" spans="1:2">
      <c r="A562" s="95" t="s">
        <v>2475</v>
      </c>
      <c r="B562" s="96" t="s">
        <v>2476</v>
      </c>
    </row>
    <row r="563" spans="1:2">
      <c r="A563" s="93" t="s">
        <v>2477</v>
      </c>
      <c r="B563" s="94" t="s">
        <v>2478</v>
      </c>
    </row>
    <row r="564" spans="1:2" ht="36">
      <c r="A564" s="95" t="s">
        <v>2479</v>
      </c>
      <c r="B564" s="96" t="s">
        <v>2480</v>
      </c>
    </row>
    <row r="565" spans="1:2">
      <c r="A565" s="93" t="s">
        <v>2481</v>
      </c>
      <c r="B565" s="94" t="s">
        <v>2482</v>
      </c>
    </row>
    <row r="566" spans="1:2">
      <c r="A566" s="95" t="s">
        <v>2483</v>
      </c>
      <c r="B566" s="96" t="s">
        <v>2484</v>
      </c>
    </row>
    <row r="567" spans="1:2">
      <c r="A567" s="93" t="s">
        <v>2485</v>
      </c>
      <c r="B567" s="94" t="s">
        <v>2486</v>
      </c>
    </row>
    <row r="568" spans="1:2">
      <c r="A568" s="95" t="s">
        <v>2487</v>
      </c>
      <c r="B568" s="96" t="s">
        <v>2488</v>
      </c>
    </row>
    <row r="569" spans="1:2">
      <c r="A569" s="93" t="s">
        <v>2489</v>
      </c>
      <c r="B569" s="94" t="s">
        <v>2490</v>
      </c>
    </row>
    <row r="570" spans="1:2" ht="24">
      <c r="A570" s="95" t="s">
        <v>2491</v>
      </c>
      <c r="B570" s="96" t="s">
        <v>2492</v>
      </c>
    </row>
    <row r="571" spans="1:2">
      <c r="A571" s="93" t="s">
        <v>2493</v>
      </c>
      <c r="B571" s="94" t="s">
        <v>2494</v>
      </c>
    </row>
    <row r="572" spans="1:2">
      <c r="A572" s="95" t="s">
        <v>2495</v>
      </c>
      <c r="B572" s="96" t="s">
        <v>2496</v>
      </c>
    </row>
    <row r="573" spans="1:2">
      <c r="A573" s="93" t="s">
        <v>2497</v>
      </c>
      <c r="B573" s="94" t="s">
        <v>2498</v>
      </c>
    </row>
    <row r="574" spans="1:2">
      <c r="A574" s="95" t="s">
        <v>2499</v>
      </c>
      <c r="B574" s="96" t="s">
        <v>2500</v>
      </c>
    </row>
    <row r="575" spans="1:2">
      <c r="A575" s="93" t="s">
        <v>2501</v>
      </c>
      <c r="B575" s="94" t="s">
        <v>2502</v>
      </c>
    </row>
    <row r="576" spans="1:2">
      <c r="A576" s="95" t="s">
        <v>2503</v>
      </c>
      <c r="B576" s="96" t="s">
        <v>2504</v>
      </c>
    </row>
    <row r="577" spans="1:2">
      <c r="A577" s="93" t="s">
        <v>2505</v>
      </c>
      <c r="B577" s="94" t="s">
        <v>2506</v>
      </c>
    </row>
    <row r="578" spans="1:2" ht="24">
      <c r="A578" s="95" t="s">
        <v>2507</v>
      </c>
      <c r="B578" s="96" t="s">
        <v>2508</v>
      </c>
    </row>
    <row r="579" spans="1:2">
      <c r="A579" s="93" t="s">
        <v>2509</v>
      </c>
      <c r="B579" s="94" t="s">
        <v>2510</v>
      </c>
    </row>
    <row r="580" spans="1:2">
      <c r="A580" s="95" t="s">
        <v>2511</v>
      </c>
      <c r="B580" s="96" t="s">
        <v>2512</v>
      </c>
    </row>
    <row r="581" spans="1:2" ht="24">
      <c r="A581" s="93" t="s">
        <v>2513</v>
      </c>
      <c r="B581" s="94" t="s">
        <v>2514</v>
      </c>
    </row>
    <row r="582" spans="1:2" ht="24">
      <c r="A582" s="95" t="s">
        <v>2515</v>
      </c>
      <c r="B582" s="96" t="s">
        <v>2516</v>
      </c>
    </row>
    <row r="583" spans="1:2">
      <c r="A583" s="93" t="s">
        <v>2517</v>
      </c>
      <c r="B583" s="94" t="s">
        <v>2518</v>
      </c>
    </row>
    <row r="584" spans="1:2" ht="36">
      <c r="A584" s="95" t="s">
        <v>2519</v>
      </c>
      <c r="B584" s="96" t="s">
        <v>2520</v>
      </c>
    </row>
    <row r="585" spans="1:2" ht="24">
      <c r="A585" s="93" t="s">
        <v>2521</v>
      </c>
      <c r="B585" s="94" t="s">
        <v>2522</v>
      </c>
    </row>
    <row r="586" spans="1:2">
      <c r="A586" s="95" t="s">
        <v>2523</v>
      </c>
      <c r="B586" s="96" t="s">
        <v>2524</v>
      </c>
    </row>
    <row r="587" spans="1:2">
      <c r="A587" s="93" t="s">
        <v>2525</v>
      </c>
      <c r="B587" s="94" t="s">
        <v>2526</v>
      </c>
    </row>
    <row r="588" spans="1:2" ht="24">
      <c r="A588" s="95" t="s">
        <v>2527</v>
      </c>
      <c r="B588" s="96" t="s">
        <v>2528</v>
      </c>
    </row>
    <row r="589" spans="1:2" ht="36">
      <c r="A589" s="93" t="s">
        <v>2529</v>
      </c>
      <c r="B589" s="94" t="s">
        <v>2530</v>
      </c>
    </row>
    <row r="590" spans="1:2">
      <c r="A590" s="95" t="s">
        <v>2531</v>
      </c>
      <c r="B590" s="96" t="s">
        <v>2532</v>
      </c>
    </row>
    <row r="591" spans="1:2">
      <c r="A591" s="93" t="s">
        <v>2533</v>
      </c>
      <c r="B591" s="94" t="s">
        <v>2534</v>
      </c>
    </row>
    <row r="592" spans="1:2">
      <c r="A592" s="95" t="s">
        <v>2535</v>
      </c>
      <c r="B592" s="96" t="s">
        <v>2536</v>
      </c>
    </row>
    <row r="593" spans="1:2" ht="24">
      <c r="A593" s="93" t="s">
        <v>2537</v>
      </c>
      <c r="B593" s="94" t="s">
        <v>2538</v>
      </c>
    </row>
    <row r="594" spans="1:2" ht="24">
      <c r="A594" s="95" t="s">
        <v>2539</v>
      </c>
      <c r="B594" s="96" t="s">
        <v>2540</v>
      </c>
    </row>
    <row r="595" spans="1:2" ht="24">
      <c r="A595" s="93" t="s">
        <v>2541</v>
      </c>
      <c r="B595" s="94" t="s">
        <v>2542</v>
      </c>
    </row>
    <row r="596" spans="1:2">
      <c r="A596" s="95" t="s">
        <v>2543</v>
      </c>
      <c r="B596" s="96" t="s">
        <v>2544</v>
      </c>
    </row>
    <row r="597" spans="1:2" ht="36">
      <c r="A597" s="97" t="s">
        <v>2545</v>
      </c>
      <c r="B597" s="98" t="s">
        <v>2546</v>
      </c>
    </row>
    <row r="598" spans="1:2">
      <c r="A598" s="95" t="s">
        <v>2547</v>
      </c>
      <c r="B598" s="96" t="s">
        <v>2548</v>
      </c>
    </row>
    <row r="599" spans="1:2">
      <c r="A599" s="93" t="s">
        <v>2549</v>
      </c>
      <c r="B599" s="94" t="s">
        <v>2550</v>
      </c>
    </row>
    <row r="600" spans="1:2">
      <c r="A600" s="95" t="s">
        <v>2551</v>
      </c>
      <c r="B600" s="96" t="s">
        <v>2552</v>
      </c>
    </row>
    <row r="601" spans="1:2">
      <c r="A601" s="93" t="s">
        <v>2553</v>
      </c>
      <c r="B601" s="94" t="s">
        <v>2042</v>
      </c>
    </row>
    <row r="602" spans="1:2" ht="36">
      <c r="A602" s="95" t="s">
        <v>2554</v>
      </c>
      <c r="B602" s="96" t="s">
        <v>2555</v>
      </c>
    </row>
    <row r="603" spans="1:2">
      <c r="A603" s="93" t="s">
        <v>2556</v>
      </c>
      <c r="B603" s="94" t="s">
        <v>2557</v>
      </c>
    </row>
    <row r="604" spans="1:2">
      <c r="A604" s="95" t="s">
        <v>2558</v>
      </c>
      <c r="B604" s="96" t="s">
        <v>2559</v>
      </c>
    </row>
    <row r="605" spans="1:2">
      <c r="A605" s="93" t="s">
        <v>2560</v>
      </c>
      <c r="B605" s="94" t="s">
        <v>2561</v>
      </c>
    </row>
    <row r="606" spans="1:2" ht="36">
      <c r="A606" s="95" t="s">
        <v>2562</v>
      </c>
      <c r="B606" s="96" t="s">
        <v>2563</v>
      </c>
    </row>
    <row r="607" spans="1:2">
      <c r="A607" s="93" t="s">
        <v>2564</v>
      </c>
      <c r="B607" s="94" t="s">
        <v>2565</v>
      </c>
    </row>
    <row r="608" spans="1:2">
      <c r="A608" s="95" t="s">
        <v>2566</v>
      </c>
      <c r="B608" s="96" t="s">
        <v>2567</v>
      </c>
    </row>
    <row r="609" spans="1:2">
      <c r="A609" s="93" t="s">
        <v>2568</v>
      </c>
      <c r="B609" s="94" t="s">
        <v>2569</v>
      </c>
    </row>
    <row r="610" spans="1:2">
      <c r="A610" s="95" t="s">
        <v>2570</v>
      </c>
      <c r="B610" s="96" t="s">
        <v>2571</v>
      </c>
    </row>
    <row r="611" spans="1:2">
      <c r="A611" s="93" t="s">
        <v>2572</v>
      </c>
      <c r="B611" s="94" t="s">
        <v>2573</v>
      </c>
    </row>
    <row r="612" spans="1:2">
      <c r="A612" s="95" t="s">
        <v>2574</v>
      </c>
      <c r="B612" s="96" t="s">
        <v>2575</v>
      </c>
    </row>
    <row r="613" spans="1:2">
      <c r="A613" s="93" t="s">
        <v>2576</v>
      </c>
      <c r="B613" s="94" t="s">
        <v>2577</v>
      </c>
    </row>
    <row r="614" spans="1:2" ht="24">
      <c r="A614" s="95" t="s">
        <v>2578</v>
      </c>
      <c r="B614" s="96" t="s">
        <v>2579</v>
      </c>
    </row>
    <row r="615" spans="1:2">
      <c r="A615" s="93" t="s">
        <v>2580</v>
      </c>
      <c r="B615" s="94" t="s">
        <v>2581</v>
      </c>
    </row>
    <row r="616" spans="1:2">
      <c r="A616" s="95" t="s">
        <v>2582</v>
      </c>
      <c r="B616" s="96" t="s">
        <v>2583</v>
      </c>
    </row>
    <row r="617" spans="1:2">
      <c r="A617" s="93" t="s">
        <v>2584</v>
      </c>
      <c r="B617" s="94" t="s">
        <v>2585</v>
      </c>
    </row>
    <row r="618" spans="1:2">
      <c r="A618" s="95" t="s">
        <v>2586</v>
      </c>
      <c r="B618" s="96" t="s">
        <v>2587</v>
      </c>
    </row>
    <row r="619" spans="1:2">
      <c r="A619" s="93" t="s">
        <v>2588</v>
      </c>
      <c r="B619" s="94" t="s">
        <v>1480</v>
      </c>
    </row>
    <row r="620" spans="1:2">
      <c r="A620" s="95" t="s">
        <v>2589</v>
      </c>
      <c r="B620" s="96" t="s">
        <v>2590</v>
      </c>
    </row>
    <row r="621" spans="1:2">
      <c r="A621" s="93" t="s">
        <v>2591</v>
      </c>
      <c r="B621" s="94" t="s">
        <v>2592</v>
      </c>
    </row>
    <row r="622" spans="1:2">
      <c r="A622" s="95" t="s">
        <v>2593</v>
      </c>
      <c r="B622" s="96" t="s">
        <v>2594</v>
      </c>
    </row>
    <row r="623" spans="1:2" ht="24">
      <c r="A623" s="93" t="s">
        <v>2595</v>
      </c>
      <c r="B623" s="94" t="s">
        <v>2596</v>
      </c>
    </row>
    <row r="624" spans="1:2">
      <c r="A624" s="95" t="s">
        <v>2597</v>
      </c>
      <c r="B624" s="96" t="s">
        <v>2598</v>
      </c>
    </row>
    <row r="625" spans="1:2">
      <c r="A625" s="93" t="s">
        <v>2599</v>
      </c>
      <c r="B625" s="94" t="s">
        <v>2600</v>
      </c>
    </row>
    <row r="626" spans="1:2">
      <c r="A626" s="95" t="s">
        <v>2601</v>
      </c>
      <c r="B626" s="96" t="s">
        <v>2602</v>
      </c>
    </row>
    <row r="627" spans="1:2">
      <c r="A627" s="93" t="s">
        <v>2603</v>
      </c>
      <c r="B627" s="94" t="s">
        <v>2604</v>
      </c>
    </row>
    <row r="628" spans="1:2">
      <c r="A628" s="95" t="s">
        <v>2605</v>
      </c>
      <c r="B628" s="96" t="s">
        <v>2606</v>
      </c>
    </row>
    <row r="629" spans="1:2">
      <c r="A629" s="93" t="s">
        <v>2607</v>
      </c>
      <c r="B629" s="94" t="s">
        <v>2038</v>
      </c>
    </row>
    <row r="630" spans="1:2">
      <c r="A630" s="95" t="s">
        <v>2608</v>
      </c>
      <c r="B630" s="96" t="s">
        <v>2609</v>
      </c>
    </row>
    <row r="631" spans="1:2">
      <c r="A631" s="93" t="s">
        <v>2610</v>
      </c>
      <c r="B631" s="94" t="s">
        <v>2611</v>
      </c>
    </row>
    <row r="632" spans="1:2">
      <c r="A632" s="95" t="s">
        <v>2612</v>
      </c>
      <c r="B632" s="96" t="s">
        <v>2613</v>
      </c>
    </row>
    <row r="633" spans="1:2" ht="24">
      <c r="A633" s="93" t="s">
        <v>2614</v>
      </c>
      <c r="B633" s="94" t="s">
        <v>2615</v>
      </c>
    </row>
    <row r="634" spans="1:2" ht="24">
      <c r="A634" s="95" t="s">
        <v>2616</v>
      </c>
      <c r="B634" s="96" t="s">
        <v>2617</v>
      </c>
    </row>
    <row r="635" spans="1:2" ht="24">
      <c r="A635" s="93" t="s">
        <v>2618</v>
      </c>
      <c r="B635" s="94" t="s">
        <v>1936</v>
      </c>
    </row>
    <row r="636" spans="1:2">
      <c r="A636" s="95" t="s">
        <v>2619</v>
      </c>
      <c r="B636" s="96" t="s">
        <v>2620</v>
      </c>
    </row>
    <row r="637" spans="1:2">
      <c r="A637" s="93" t="s">
        <v>2621</v>
      </c>
      <c r="B637" s="94" t="s">
        <v>2622</v>
      </c>
    </row>
    <row r="638" spans="1:2">
      <c r="A638" s="95" t="s">
        <v>2623</v>
      </c>
      <c r="B638" s="96" t="s">
        <v>2624</v>
      </c>
    </row>
    <row r="639" spans="1:2">
      <c r="A639" s="93" t="s">
        <v>2625</v>
      </c>
      <c r="B639" s="94" t="s">
        <v>2626</v>
      </c>
    </row>
    <row r="640" spans="1:2">
      <c r="A640" s="95" t="s">
        <v>2627</v>
      </c>
      <c r="B640" s="96" t="s">
        <v>2628</v>
      </c>
    </row>
    <row r="641" spans="1:2">
      <c r="A641" s="93" t="s">
        <v>2629</v>
      </c>
      <c r="B641" s="94" t="s">
        <v>2630</v>
      </c>
    </row>
    <row r="642" spans="1:2">
      <c r="A642" s="95" t="s">
        <v>2631</v>
      </c>
      <c r="B642" s="96" t="s">
        <v>2632</v>
      </c>
    </row>
    <row r="643" spans="1:2">
      <c r="A643" s="93" t="s">
        <v>2633</v>
      </c>
      <c r="B643" s="94" t="s">
        <v>2634</v>
      </c>
    </row>
    <row r="644" spans="1:2">
      <c r="A644" s="95" t="s">
        <v>2635</v>
      </c>
      <c r="B644" s="96" t="s">
        <v>2636</v>
      </c>
    </row>
    <row r="645" spans="1:2">
      <c r="A645" s="93" t="s">
        <v>2637</v>
      </c>
      <c r="B645" s="94" t="s">
        <v>2062</v>
      </c>
    </row>
    <row r="646" spans="1:2">
      <c r="A646" s="95" t="s">
        <v>2638</v>
      </c>
      <c r="B646" s="96" t="s">
        <v>2639</v>
      </c>
    </row>
    <row r="647" spans="1:2">
      <c r="A647" s="93" t="s">
        <v>2640</v>
      </c>
      <c r="B647" s="94" t="s">
        <v>2641</v>
      </c>
    </row>
    <row r="648" spans="1:2" ht="24">
      <c r="A648" s="95" t="s">
        <v>2642</v>
      </c>
      <c r="B648" s="96" t="s">
        <v>2643</v>
      </c>
    </row>
    <row r="649" spans="1:2">
      <c r="A649" s="93" t="s">
        <v>2644</v>
      </c>
      <c r="B649" s="94" t="s">
        <v>2645</v>
      </c>
    </row>
    <row r="650" spans="1:2">
      <c r="A650" s="95" t="s">
        <v>2646</v>
      </c>
      <c r="B650" s="96" t="s">
        <v>2647</v>
      </c>
    </row>
    <row r="651" spans="1:2" ht="24">
      <c r="A651" s="93" t="s">
        <v>2648</v>
      </c>
      <c r="B651" s="94" t="s">
        <v>2649</v>
      </c>
    </row>
    <row r="652" spans="1:2" ht="24">
      <c r="A652" s="95" t="s">
        <v>2650</v>
      </c>
      <c r="B652" s="96" t="s">
        <v>2651</v>
      </c>
    </row>
    <row r="653" spans="1:2">
      <c r="A653" s="93" t="s">
        <v>2652</v>
      </c>
      <c r="B653" s="94" t="s">
        <v>2653</v>
      </c>
    </row>
    <row r="654" spans="1:2">
      <c r="A654" s="95" t="s">
        <v>2654</v>
      </c>
      <c r="B654" s="96" t="s">
        <v>2655</v>
      </c>
    </row>
    <row r="655" spans="1:2" ht="24">
      <c r="A655" s="93" t="s">
        <v>2656</v>
      </c>
      <c r="B655" s="94" t="s">
        <v>2657</v>
      </c>
    </row>
    <row r="656" spans="1:2">
      <c r="A656" s="95" t="s">
        <v>2658</v>
      </c>
      <c r="B656" s="96" t="s">
        <v>2659</v>
      </c>
    </row>
    <row r="657" spans="1:2">
      <c r="A657" s="93" t="s">
        <v>2660</v>
      </c>
      <c r="B657" s="94" t="s">
        <v>2661</v>
      </c>
    </row>
    <row r="658" spans="1:2">
      <c r="A658" s="95" t="s">
        <v>2662</v>
      </c>
      <c r="B658" s="96" t="s">
        <v>1759</v>
      </c>
    </row>
    <row r="659" spans="1:2" ht="24">
      <c r="A659" s="93" t="s">
        <v>2663</v>
      </c>
      <c r="B659" s="94" t="s">
        <v>2664</v>
      </c>
    </row>
    <row r="660" spans="1:2" ht="24">
      <c r="A660" s="95" t="s">
        <v>2665</v>
      </c>
      <c r="B660" s="96" t="s">
        <v>2666</v>
      </c>
    </row>
    <row r="661" spans="1:2">
      <c r="A661" s="93" t="s">
        <v>2667</v>
      </c>
      <c r="B661" s="94" t="s">
        <v>2668</v>
      </c>
    </row>
    <row r="662" spans="1:2">
      <c r="A662" s="95" t="s">
        <v>2669</v>
      </c>
      <c r="B662" s="96" t="s">
        <v>2670</v>
      </c>
    </row>
    <row r="663" spans="1:2" ht="36">
      <c r="A663" s="93" t="s">
        <v>2671</v>
      </c>
      <c r="B663" s="94" t="s">
        <v>2672</v>
      </c>
    </row>
    <row r="664" spans="1:2">
      <c r="A664" s="95" t="s">
        <v>2673</v>
      </c>
      <c r="B664" s="96" t="s">
        <v>2674</v>
      </c>
    </row>
    <row r="665" spans="1:2">
      <c r="A665" s="93" t="s">
        <v>2675</v>
      </c>
      <c r="B665" s="94" t="s">
        <v>2676</v>
      </c>
    </row>
    <row r="666" spans="1:2">
      <c r="A666" s="95" t="s">
        <v>2677</v>
      </c>
      <c r="B666" s="96" t="s">
        <v>1452</v>
      </c>
    </row>
    <row r="667" spans="1:2">
      <c r="A667" s="93" t="s">
        <v>2678</v>
      </c>
      <c r="B667" s="94" t="s">
        <v>2679</v>
      </c>
    </row>
    <row r="668" spans="1:2">
      <c r="A668" s="95" t="s">
        <v>2680</v>
      </c>
      <c r="B668" s="96" t="s">
        <v>2681</v>
      </c>
    </row>
    <row r="669" spans="1:2">
      <c r="A669" s="93" t="s">
        <v>2682</v>
      </c>
      <c r="B669" s="94" t="s">
        <v>2683</v>
      </c>
    </row>
    <row r="670" spans="1:2">
      <c r="A670" s="95" t="s">
        <v>2684</v>
      </c>
      <c r="B670" s="96" t="s">
        <v>2685</v>
      </c>
    </row>
    <row r="671" spans="1:2">
      <c r="A671" s="93" t="s">
        <v>2686</v>
      </c>
      <c r="B671" s="94" t="s">
        <v>2687</v>
      </c>
    </row>
    <row r="672" spans="1:2" ht="24">
      <c r="A672" s="95" t="s">
        <v>2688</v>
      </c>
      <c r="B672" s="96" t="s">
        <v>2689</v>
      </c>
    </row>
    <row r="673" spans="1:2">
      <c r="A673" s="93" t="s">
        <v>2690</v>
      </c>
      <c r="B673" s="94" t="s">
        <v>2691</v>
      </c>
    </row>
    <row r="674" spans="1:2" ht="24">
      <c r="A674" s="95" t="s">
        <v>2692</v>
      </c>
      <c r="B674" s="96" t="s">
        <v>2693</v>
      </c>
    </row>
    <row r="675" spans="1:2">
      <c r="A675" s="93" t="s">
        <v>2694</v>
      </c>
      <c r="B675" s="94" t="s">
        <v>2695</v>
      </c>
    </row>
    <row r="676" spans="1:2">
      <c r="A676" s="95" t="s">
        <v>2696</v>
      </c>
      <c r="B676" s="96" t="s">
        <v>2697</v>
      </c>
    </row>
    <row r="677" spans="1:2" ht="24">
      <c r="A677" s="93" t="s">
        <v>2698</v>
      </c>
      <c r="B677" s="94" t="s">
        <v>2699</v>
      </c>
    </row>
    <row r="678" spans="1:2">
      <c r="A678" s="95" t="s">
        <v>2700</v>
      </c>
      <c r="B678" s="96" t="s">
        <v>2701</v>
      </c>
    </row>
    <row r="679" spans="1:2" ht="36">
      <c r="A679" s="93" t="s">
        <v>2702</v>
      </c>
      <c r="B679" s="94" t="s">
        <v>2703</v>
      </c>
    </row>
    <row r="680" spans="1:2">
      <c r="A680" s="95" t="s">
        <v>2704</v>
      </c>
      <c r="B680" s="96" t="s">
        <v>2046</v>
      </c>
    </row>
    <row r="681" spans="1:2" ht="48">
      <c r="A681" s="93" t="s">
        <v>2705</v>
      </c>
      <c r="B681" s="94" t="s">
        <v>2706</v>
      </c>
    </row>
    <row r="682" spans="1:2">
      <c r="A682" s="95" t="s">
        <v>2707</v>
      </c>
      <c r="B682" s="96" t="s">
        <v>2708</v>
      </c>
    </row>
    <row r="683" spans="1:2">
      <c r="A683" s="93" t="s">
        <v>2709</v>
      </c>
      <c r="B683" s="94" t="s">
        <v>2710</v>
      </c>
    </row>
    <row r="684" spans="1:2" ht="36">
      <c r="A684" s="95" t="s">
        <v>2711</v>
      </c>
      <c r="B684" s="96" t="s">
        <v>2712</v>
      </c>
    </row>
    <row r="685" spans="1:2">
      <c r="A685" s="93" t="s">
        <v>2713</v>
      </c>
      <c r="B685" s="94" t="s">
        <v>2714</v>
      </c>
    </row>
    <row r="686" spans="1:2">
      <c r="A686" s="95" t="s">
        <v>2715</v>
      </c>
      <c r="B686" s="96" t="s">
        <v>2716</v>
      </c>
    </row>
    <row r="687" spans="1:2">
      <c r="A687" s="93" t="s">
        <v>2717</v>
      </c>
      <c r="B687" s="94" t="s">
        <v>2718</v>
      </c>
    </row>
    <row r="688" spans="1:2" ht="24">
      <c r="A688" s="95" t="s">
        <v>2719</v>
      </c>
      <c r="B688" s="96" t="s">
        <v>2720</v>
      </c>
    </row>
    <row r="689" spans="1:2" ht="24">
      <c r="A689" s="93" t="s">
        <v>2721</v>
      </c>
      <c r="B689" s="94" t="s">
        <v>2722</v>
      </c>
    </row>
    <row r="690" spans="1:2">
      <c r="A690" s="95" t="s">
        <v>2723</v>
      </c>
      <c r="B690" s="96" t="s">
        <v>2724</v>
      </c>
    </row>
    <row r="691" spans="1:2" ht="24">
      <c r="A691" s="93" t="s">
        <v>2725</v>
      </c>
      <c r="B691" s="94" t="s">
        <v>2726</v>
      </c>
    </row>
    <row r="692" spans="1:2">
      <c r="A692" s="95" t="s">
        <v>2727</v>
      </c>
      <c r="B692" s="96" t="s">
        <v>2728</v>
      </c>
    </row>
    <row r="693" spans="1:2" ht="24">
      <c r="A693" s="93" t="s">
        <v>2729</v>
      </c>
      <c r="B693" s="94" t="s">
        <v>2730</v>
      </c>
    </row>
    <row r="694" spans="1:2">
      <c r="A694" s="95" t="s">
        <v>2731</v>
      </c>
      <c r="B694" s="96" t="s">
        <v>2732</v>
      </c>
    </row>
    <row r="695" spans="1:2">
      <c r="A695" s="93" t="s">
        <v>2733</v>
      </c>
      <c r="B695" s="94" t="s">
        <v>2734</v>
      </c>
    </row>
    <row r="696" spans="1:2" ht="24">
      <c r="A696" s="95" t="s">
        <v>2735</v>
      </c>
      <c r="B696" s="96" t="s">
        <v>2736</v>
      </c>
    </row>
    <row r="697" spans="1:2" ht="24">
      <c r="A697" s="93" t="s">
        <v>2737</v>
      </c>
      <c r="B697" s="94" t="s">
        <v>2738</v>
      </c>
    </row>
    <row r="698" spans="1:2">
      <c r="A698" s="95" t="s">
        <v>2739</v>
      </c>
      <c r="B698" s="96" t="s">
        <v>2740</v>
      </c>
    </row>
    <row r="699" spans="1:2" ht="24">
      <c r="A699" s="93" t="s">
        <v>2741</v>
      </c>
      <c r="B699" s="94" t="s">
        <v>2742</v>
      </c>
    </row>
    <row r="700" spans="1:2">
      <c r="A700" s="95" t="s">
        <v>2743</v>
      </c>
      <c r="B700" s="96" t="s">
        <v>1478</v>
      </c>
    </row>
    <row r="701" spans="1:2">
      <c r="A701" s="93" t="s">
        <v>2744</v>
      </c>
      <c r="B701" s="94" t="s">
        <v>2687</v>
      </c>
    </row>
    <row r="702" spans="1:2">
      <c r="A702" s="95" t="s">
        <v>2745</v>
      </c>
      <c r="B702" s="96" t="s">
        <v>2746</v>
      </c>
    </row>
    <row r="703" spans="1:2">
      <c r="A703" s="93" t="s">
        <v>2747</v>
      </c>
      <c r="B703" s="94" t="s">
        <v>2748</v>
      </c>
    </row>
    <row r="704" spans="1:2" ht="24">
      <c r="A704" s="95" t="s">
        <v>2749</v>
      </c>
      <c r="B704" s="96" t="s">
        <v>2750</v>
      </c>
    </row>
    <row r="705" spans="1:2">
      <c r="A705" s="93" t="s">
        <v>2751</v>
      </c>
      <c r="B705" s="94" t="s">
        <v>2752</v>
      </c>
    </row>
    <row r="706" spans="1:2">
      <c r="A706" s="95" t="s">
        <v>2753</v>
      </c>
      <c r="B706" s="96" t="s">
        <v>2754</v>
      </c>
    </row>
    <row r="707" spans="1:2" ht="24">
      <c r="A707" s="93" t="s">
        <v>2755</v>
      </c>
      <c r="B707" s="94" t="s">
        <v>2756</v>
      </c>
    </row>
    <row r="708" spans="1:2" ht="24">
      <c r="A708" s="95" t="s">
        <v>2757</v>
      </c>
      <c r="B708" s="96" t="s">
        <v>2758</v>
      </c>
    </row>
    <row r="709" spans="1:2" ht="24">
      <c r="A709" s="93" t="s">
        <v>2759</v>
      </c>
      <c r="B709" s="94" t="s">
        <v>2760</v>
      </c>
    </row>
    <row r="710" spans="1:2" ht="24">
      <c r="A710" s="95" t="s">
        <v>2761</v>
      </c>
      <c r="B710" s="96" t="s">
        <v>2762</v>
      </c>
    </row>
    <row r="711" spans="1:2" ht="24">
      <c r="A711" s="93" t="s">
        <v>2763</v>
      </c>
      <c r="B711" s="94" t="s">
        <v>2080</v>
      </c>
    </row>
    <row r="712" spans="1:2">
      <c r="A712" s="95" t="s">
        <v>2764</v>
      </c>
      <c r="B712" s="96" t="s">
        <v>2765</v>
      </c>
    </row>
    <row r="713" spans="1:2" ht="36">
      <c r="A713" s="93" t="s">
        <v>2766</v>
      </c>
      <c r="B713" s="94" t="s">
        <v>2767</v>
      </c>
    </row>
    <row r="714" spans="1:2" ht="24">
      <c r="A714" s="95" t="s">
        <v>2768</v>
      </c>
      <c r="B714" s="96" t="s">
        <v>2769</v>
      </c>
    </row>
    <row r="715" spans="1:2" ht="24">
      <c r="A715" s="93" t="s">
        <v>2770</v>
      </c>
      <c r="B715" s="94" t="s">
        <v>2771</v>
      </c>
    </row>
    <row r="716" spans="1:2">
      <c r="A716" s="95" t="s">
        <v>2772</v>
      </c>
      <c r="B716" s="96" t="s">
        <v>2216</v>
      </c>
    </row>
    <row r="717" spans="1:2" ht="24">
      <c r="A717" s="93" t="s">
        <v>2773</v>
      </c>
      <c r="B717" s="94" t="s">
        <v>2774</v>
      </c>
    </row>
    <row r="718" spans="1:2">
      <c r="A718" s="95" t="s">
        <v>2775</v>
      </c>
      <c r="B718" s="96" t="s">
        <v>2776</v>
      </c>
    </row>
    <row r="719" spans="1:2">
      <c r="A719" s="93" t="s">
        <v>2777</v>
      </c>
      <c r="B719" s="94" t="s">
        <v>2280</v>
      </c>
    </row>
    <row r="720" spans="1:2">
      <c r="A720" s="95" t="s">
        <v>2778</v>
      </c>
      <c r="B720" s="96" t="s">
        <v>2779</v>
      </c>
    </row>
    <row r="721" spans="1:2">
      <c r="A721" s="93" t="s">
        <v>2780</v>
      </c>
      <c r="B721" s="94" t="s">
        <v>2781</v>
      </c>
    </row>
    <row r="722" spans="1:2">
      <c r="A722" s="95" t="s">
        <v>2782</v>
      </c>
      <c r="B722" s="96" t="s">
        <v>2783</v>
      </c>
    </row>
    <row r="723" spans="1:2">
      <c r="A723" s="93" t="s">
        <v>2784</v>
      </c>
      <c r="B723" s="94" t="s">
        <v>2785</v>
      </c>
    </row>
    <row r="724" spans="1:2">
      <c r="A724" s="95" t="s">
        <v>2786</v>
      </c>
      <c r="B724" s="96" t="s">
        <v>1771</v>
      </c>
    </row>
    <row r="725" spans="1:2">
      <c r="A725" s="93" t="s">
        <v>2787</v>
      </c>
      <c r="B725" s="94" t="s">
        <v>2788</v>
      </c>
    </row>
    <row r="726" spans="1:2">
      <c r="A726" s="95" t="s">
        <v>2789</v>
      </c>
      <c r="B726" s="96" t="s">
        <v>2790</v>
      </c>
    </row>
    <row r="727" spans="1:2">
      <c r="A727" s="93" t="s">
        <v>2791</v>
      </c>
      <c r="B727" s="94" t="s">
        <v>2792</v>
      </c>
    </row>
    <row r="728" spans="1:2" ht="24">
      <c r="A728" s="95" t="s">
        <v>2793</v>
      </c>
      <c r="B728" s="96" t="s">
        <v>2794</v>
      </c>
    </row>
    <row r="729" spans="1:2">
      <c r="A729" s="93" t="s">
        <v>2795</v>
      </c>
      <c r="B729" s="94" t="s">
        <v>1691</v>
      </c>
    </row>
    <row r="730" spans="1:2" ht="24">
      <c r="A730" s="95" t="s">
        <v>2796</v>
      </c>
      <c r="B730" s="96" t="s">
        <v>2797</v>
      </c>
    </row>
    <row r="731" spans="1:2">
      <c r="A731" s="93" t="s">
        <v>2798</v>
      </c>
      <c r="B731" s="94" t="s">
        <v>2799</v>
      </c>
    </row>
    <row r="732" spans="1:2">
      <c r="A732" s="95" t="s">
        <v>2800</v>
      </c>
      <c r="B732" s="96" t="s">
        <v>2801</v>
      </c>
    </row>
    <row r="733" spans="1:2">
      <c r="A733" s="93" t="s">
        <v>2802</v>
      </c>
      <c r="B733" s="94" t="s">
        <v>2803</v>
      </c>
    </row>
    <row r="734" spans="1:2">
      <c r="A734" s="95" t="s">
        <v>2804</v>
      </c>
      <c r="B734" s="96" t="s">
        <v>2805</v>
      </c>
    </row>
    <row r="735" spans="1:2">
      <c r="A735" s="93" t="s">
        <v>2806</v>
      </c>
      <c r="B735" s="94" t="s">
        <v>2807</v>
      </c>
    </row>
    <row r="736" spans="1:2">
      <c r="A736" s="95" t="s">
        <v>2808</v>
      </c>
      <c r="B736" s="96" t="s">
        <v>2809</v>
      </c>
    </row>
    <row r="737" spans="1:2" ht="24">
      <c r="A737" s="93" t="s">
        <v>2810</v>
      </c>
      <c r="B737" s="94" t="s">
        <v>2811</v>
      </c>
    </row>
    <row r="738" spans="1:2">
      <c r="A738" s="95" t="s">
        <v>2812</v>
      </c>
      <c r="B738" s="96" t="s">
        <v>2110</v>
      </c>
    </row>
    <row r="739" spans="1:2">
      <c r="A739" s="93" t="s">
        <v>2813</v>
      </c>
      <c r="B739" s="94" t="s">
        <v>2814</v>
      </c>
    </row>
    <row r="740" spans="1:2" ht="24">
      <c r="A740" s="95" t="s">
        <v>2815</v>
      </c>
      <c r="B740" s="96" t="s">
        <v>2816</v>
      </c>
    </row>
    <row r="741" spans="1:2" ht="24">
      <c r="A741" s="93" t="s">
        <v>2817</v>
      </c>
      <c r="B741" s="94" t="s">
        <v>2818</v>
      </c>
    </row>
    <row r="742" spans="1:2">
      <c r="A742" s="95" t="s">
        <v>2819</v>
      </c>
      <c r="B742" s="96" t="s">
        <v>2820</v>
      </c>
    </row>
    <row r="743" spans="1:2">
      <c r="A743" s="93" t="s">
        <v>2821</v>
      </c>
      <c r="B743" s="94" t="s">
        <v>2822</v>
      </c>
    </row>
    <row r="744" spans="1:2">
      <c r="A744" s="95" t="s">
        <v>2823</v>
      </c>
      <c r="B744" s="96" t="s">
        <v>2824</v>
      </c>
    </row>
    <row r="745" spans="1:2">
      <c r="A745" s="93" t="s">
        <v>2825</v>
      </c>
      <c r="B745" s="94" t="s">
        <v>2826</v>
      </c>
    </row>
    <row r="746" spans="1:2">
      <c r="A746" s="95" t="s">
        <v>2827</v>
      </c>
      <c r="B746" s="96" t="s">
        <v>2828</v>
      </c>
    </row>
    <row r="747" spans="1:2">
      <c r="A747" s="93" t="s">
        <v>2829</v>
      </c>
      <c r="B747" s="94" t="s">
        <v>2830</v>
      </c>
    </row>
    <row r="748" spans="1:2">
      <c r="A748" s="95" t="s">
        <v>2831</v>
      </c>
      <c r="B748" s="96" t="s">
        <v>2832</v>
      </c>
    </row>
    <row r="749" spans="1:2">
      <c r="A749" s="93" t="s">
        <v>2833</v>
      </c>
      <c r="B749" s="94" t="s">
        <v>2834</v>
      </c>
    </row>
    <row r="750" spans="1:2">
      <c r="A750" s="95" t="s">
        <v>2835</v>
      </c>
      <c r="B750" s="96" t="s">
        <v>1504</v>
      </c>
    </row>
    <row r="751" spans="1:2">
      <c r="A751" s="93" t="s">
        <v>2836</v>
      </c>
      <c r="B751" s="94" t="s">
        <v>2837</v>
      </c>
    </row>
    <row r="752" spans="1:2">
      <c r="A752" s="95" t="s">
        <v>2838</v>
      </c>
      <c r="B752" s="96" t="s">
        <v>2839</v>
      </c>
    </row>
    <row r="753" spans="1:2">
      <c r="A753" s="93" t="s">
        <v>2840</v>
      </c>
      <c r="B753" s="94" t="s">
        <v>2841</v>
      </c>
    </row>
    <row r="754" spans="1:2">
      <c r="A754" s="95" t="s">
        <v>2842</v>
      </c>
      <c r="B754" s="96" t="s">
        <v>2843</v>
      </c>
    </row>
    <row r="755" spans="1:2">
      <c r="A755" s="93" t="s">
        <v>2844</v>
      </c>
      <c r="B755" s="94" t="s">
        <v>2845</v>
      </c>
    </row>
    <row r="756" spans="1:2">
      <c r="A756" s="95" t="s">
        <v>2846</v>
      </c>
      <c r="B756" s="96" t="s">
        <v>2389</v>
      </c>
    </row>
    <row r="757" spans="1:2">
      <c r="A757" s="93" t="s">
        <v>2847</v>
      </c>
      <c r="B757" s="94" t="s">
        <v>1518</v>
      </c>
    </row>
    <row r="758" spans="1:2" ht="24">
      <c r="A758" s="95" t="s">
        <v>2848</v>
      </c>
      <c r="B758" s="96" t="s">
        <v>2849</v>
      </c>
    </row>
    <row r="759" spans="1:2">
      <c r="A759" s="93" t="s">
        <v>2850</v>
      </c>
      <c r="B759" s="94" t="s">
        <v>2851</v>
      </c>
    </row>
    <row r="760" spans="1:2" ht="24">
      <c r="A760" s="95" t="s">
        <v>2852</v>
      </c>
      <c r="B760" s="96" t="s">
        <v>2853</v>
      </c>
    </row>
    <row r="761" spans="1:2">
      <c r="A761" s="93" t="s">
        <v>2854</v>
      </c>
      <c r="B761" s="94" t="s">
        <v>2855</v>
      </c>
    </row>
    <row r="762" spans="1:2">
      <c r="A762" s="95" t="s">
        <v>2856</v>
      </c>
      <c r="B762" s="96" t="s">
        <v>2857</v>
      </c>
    </row>
    <row r="763" spans="1:2" ht="24">
      <c r="A763" s="93" t="s">
        <v>2858</v>
      </c>
      <c r="B763" s="94" t="s">
        <v>2859</v>
      </c>
    </row>
    <row r="764" spans="1:2">
      <c r="A764" s="95" t="s">
        <v>2860</v>
      </c>
      <c r="B764" s="96" t="s">
        <v>2861</v>
      </c>
    </row>
    <row r="765" spans="1:2">
      <c r="A765" s="93" t="s">
        <v>2862</v>
      </c>
      <c r="B765" s="94" t="s">
        <v>2863</v>
      </c>
    </row>
    <row r="766" spans="1:2">
      <c r="A766" s="95" t="s">
        <v>2864</v>
      </c>
      <c r="B766" s="96" t="s">
        <v>2423</v>
      </c>
    </row>
    <row r="767" spans="1:2" ht="24">
      <c r="A767" s="93" t="s">
        <v>2865</v>
      </c>
      <c r="B767" s="94" t="s">
        <v>2866</v>
      </c>
    </row>
    <row r="768" spans="1:2">
      <c r="A768" s="95" t="s">
        <v>2867</v>
      </c>
      <c r="B768" s="96" t="s">
        <v>2868</v>
      </c>
    </row>
    <row r="769" spans="1:2">
      <c r="A769" s="93" t="s">
        <v>2869</v>
      </c>
      <c r="B769" s="94" t="s">
        <v>2870</v>
      </c>
    </row>
    <row r="770" spans="1:2" ht="24">
      <c r="A770" s="95" t="s">
        <v>2871</v>
      </c>
      <c r="B770" s="96" t="s">
        <v>2427</v>
      </c>
    </row>
    <row r="771" spans="1:2" ht="24">
      <c r="A771" s="93" t="s">
        <v>2872</v>
      </c>
      <c r="B771" s="94" t="s">
        <v>2873</v>
      </c>
    </row>
    <row r="772" spans="1:2">
      <c r="A772" s="95" t="s">
        <v>2874</v>
      </c>
      <c r="B772" s="96" t="s">
        <v>1739</v>
      </c>
    </row>
    <row r="773" spans="1:2" ht="36">
      <c r="A773" s="93" t="s">
        <v>2875</v>
      </c>
      <c r="B773" s="94" t="s">
        <v>2876</v>
      </c>
    </row>
    <row r="774" spans="1:2" ht="24">
      <c r="A774" s="95" t="s">
        <v>2877</v>
      </c>
      <c r="B774" s="96" t="s">
        <v>1574</v>
      </c>
    </row>
    <row r="775" spans="1:2">
      <c r="A775" s="93" t="s">
        <v>2878</v>
      </c>
      <c r="B775" s="94" t="s">
        <v>2879</v>
      </c>
    </row>
    <row r="776" spans="1:2">
      <c r="A776" s="95" t="s">
        <v>2880</v>
      </c>
      <c r="B776" s="96" t="s">
        <v>2881</v>
      </c>
    </row>
    <row r="777" spans="1:2">
      <c r="A777" s="93" t="s">
        <v>2882</v>
      </c>
      <c r="B777" s="94" t="s">
        <v>2883</v>
      </c>
    </row>
    <row r="778" spans="1:2">
      <c r="A778" s="95" t="s">
        <v>2884</v>
      </c>
      <c r="B778" s="96" t="s">
        <v>2885</v>
      </c>
    </row>
    <row r="779" spans="1:2" ht="36">
      <c r="A779" s="93" t="s">
        <v>2886</v>
      </c>
      <c r="B779" s="94" t="s">
        <v>2887</v>
      </c>
    </row>
    <row r="780" spans="1:2" ht="24">
      <c r="A780" s="95" t="s">
        <v>2888</v>
      </c>
      <c r="B780" s="96" t="s">
        <v>2889</v>
      </c>
    </row>
    <row r="781" spans="1:2" ht="24">
      <c r="A781" s="93" t="s">
        <v>2890</v>
      </c>
      <c r="B781" s="94" t="s">
        <v>2891</v>
      </c>
    </row>
    <row r="782" spans="1:2" ht="24">
      <c r="A782" s="95" t="s">
        <v>2892</v>
      </c>
      <c r="B782" s="96" t="s">
        <v>2893</v>
      </c>
    </row>
    <row r="783" spans="1:2">
      <c r="A783" s="93" t="s">
        <v>2894</v>
      </c>
      <c r="B783" s="94" t="s">
        <v>2895</v>
      </c>
    </row>
    <row r="784" spans="1:2">
      <c r="A784" s="95" t="s">
        <v>2896</v>
      </c>
      <c r="B784" s="96" t="s">
        <v>2897</v>
      </c>
    </row>
    <row r="785" spans="1:2">
      <c r="A785" s="93" t="s">
        <v>2898</v>
      </c>
      <c r="B785" s="94" t="s">
        <v>2899</v>
      </c>
    </row>
    <row r="786" spans="1:2" ht="24">
      <c r="A786" s="95" t="s">
        <v>2900</v>
      </c>
      <c r="B786" s="96" t="s">
        <v>2901</v>
      </c>
    </row>
    <row r="787" spans="1:2">
      <c r="A787" s="93" t="s">
        <v>2902</v>
      </c>
      <c r="B787" s="94" t="s">
        <v>2903</v>
      </c>
    </row>
    <row r="788" spans="1:2">
      <c r="A788" s="95" t="s">
        <v>2904</v>
      </c>
      <c r="B788" s="96" t="s">
        <v>2905</v>
      </c>
    </row>
    <row r="789" spans="1:2">
      <c r="A789" s="93" t="s">
        <v>2906</v>
      </c>
      <c r="B789" s="94" t="s">
        <v>2907</v>
      </c>
    </row>
    <row r="790" spans="1:2">
      <c r="A790" s="95" t="s">
        <v>2908</v>
      </c>
      <c r="B790" s="96" t="s">
        <v>2909</v>
      </c>
    </row>
    <row r="791" spans="1:2" ht="24">
      <c r="A791" s="93" t="s">
        <v>2910</v>
      </c>
      <c r="B791" s="94" t="s">
        <v>2911</v>
      </c>
    </row>
    <row r="792" spans="1:2">
      <c r="A792" s="95" t="s">
        <v>2912</v>
      </c>
      <c r="B792" s="96" t="s">
        <v>2913</v>
      </c>
    </row>
    <row r="793" spans="1:2">
      <c r="A793" s="93" t="s">
        <v>2914</v>
      </c>
      <c r="B793" s="94" t="s">
        <v>2915</v>
      </c>
    </row>
    <row r="794" spans="1:2">
      <c r="A794" s="95" t="s">
        <v>2916</v>
      </c>
      <c r="B794" s="96" t="s">
        <v>2917</v>
      </c>
    </row>
    <row r="795" spans="1:2">
      <c r="A795" s="93" t="s">
        <v>2918</v>
      </c>
      <c r="B795" s="94" t="s">
        <v>2919</v>
      </c>
    </row>
    <row r="796" spans="1:2">
      <c r="A796" s="95" t="s">
        <v>2920</v>
      </c>
      <c r="B796" s="96" t="s">
        <v>2921</v>
      </c>
    </row>
    <row r="797" spans="1:2">
      <c r="A797" s="93" t="s">
        <v>2922</v>
      </c>
      <c r="B797" s="94" t="s">
        <v>2923</v>
      </c>
    </row>
    <row r="798" spans="1:2">
      <c r="A798" s="95" t="s">
        <v>2924</v>
      </c>
      <c r="B798" s="96" t="s">
        <v>2925</v>
      </c>
    </row>
    <row r="799" spans="1:2">
      <c r="A799" s="93" t="s">
        <v>2926</v>
      </c>
      <c r="B799" s="94" t="s">
        <v>2927</v>
      </c>
    </row>
    <row r="800" spans="1:2">
      <c r="A800" s="95" t="s">
        <v>2928</v>
      </c>
      <c r="B800" s="96" t="s">
        <v>2929</v>
      </c>
    </row>
    <row r="801" spans="1:2" ht="24">
      <c r="A801" s="93" t="s">
        <v>2930</v>
      </c>
      <c r="B801" s="94" t="s">
        <v>2931</v>
      </c>
    </row>
    <row r="802" spans="1:2">
      <c r="A802" s="95" t="s">
        <v>2932</v>
      </c>
      <c r="B802" s="96" t="s">
        <v>2933</v>
      </c>
    </row>
    <row r="803" spans="1:2">
      <c r="A803" s="93" t="s">
        <v>2934</v>
      </c>
      <c r="B803" s="94" t="s">
        <v>2935</v>
      </c>
    </row>
    <row r="804" spans="1:2">
      <c r="A804" s="95" t="s">
        <v>2936</v>
      </c>
      <c r="B804" s="96" t="s">
        <v>2937</v>
      </c>
    </row>
    <row r="805" spans="1:2">
      <c r="A805" s="93" t="s">
        <v>2938</v>
      </c>
      <c r="B805" s="94" t="s">
        <v>2939</v>
      </c>
    </row>
    <row r="806" spans="1:2">
      <c r="A806" s="95" t="s">
        <v>2940</v>
      </c>
      <c r="B806" s="96" t="s">
        <v>2941</v>
      </c>
    </row>
    <row r="807" spans="1:2">
      <c r="A807" s="93" t="s">
        <v>2942</v>
      </c>
      <c r="B807" s="94" t="s">
        <v>2943</v>
      </c>
    </row>
    <row r="808" spans="1:2" ht="24">
      <c r="A808" s="95" t="s">
        <v>2944</v>
      </c>
      <c r="B808" s="96" t="s">
        <v>2945</v>
      </c>
    </row>
    <row r="809" spans="1:2" ht="24">
      <c r="A809" s="93" t="s">
        <v>2946</v>
      </c>
      <c r="B809" s="94" t="s">
        <v>2947</v>
      </c>
    </row>
    <row r="810" spans="1:2" ht="24">
      <c r="A810" s="95" t="s">
        <v>2948</v>
      </c>
      <c r="B810" s="96" t="s">
        <v>2949</v>
      </c>
    </row>
    <row r="811" spans="1:2">
      <c r="A811" s="93" t="s">
        <v>2950</v>
      </c>
      <c r="B811" s="94" t="s">
        <v>2951</v>
      </c>
    </row>
    <row r="812" spans="1:2" ht="24">
      <c r="A812" s="95" t="s">
        <v>2952</v>
      </c>
      <c r="B812" s="96" t="s">
        <v>2953</v>
      </c>
    </row>
    <row r="813" spans="1:2" ht="24">
      <c r="A813" s="93" t="s">
        <v>2954</v>
      </c>
      <c r="B813" s="94" t="s">
        <v>2429</v>
      </c>
    </row>
    <row r="814" spans="1:2">
      <c r="A814" s="95" t="s">
        <v>2955</v>
      </c>
      <c r="B814" s="96" t="s">
        <v>2956</v>
      </c>
    </row>
    <row r="815" spans="1:2">
      <c r="A815" s="93" t="s">
        <v>2957</v>
      </c>
      <c r="B815" s="94" t="s">
        <v>2958</v>
      </c>
    </row>
    <row r="816" spans="1:2">
      <c r="A816" s="95" t="s">
        <v>2959</v>
      </c>
      <c r="B816" s="96" t="s">
        <v>2960</v>
      </c>
    </row>
    <row r="817" spans="1:2">
      <c r="A817" s="93" t="s">
        <v>2961</v>
      </c>
      <c r="B817" s="94" t="s">
        <v>2962</v>
      </c>
    </row>
    <row r="818" spans="1:2">
      <c r="A818" s="95" t="s">
        <v>2963</v>
      </c>
      <c r="B818" s="96" t="s">
        <v>2964</v>
      </c>
    </row>
    <row r="819" spans="1:2">
      <c r="A819" s="93" t="s">
        <v>2965</v>
      </c>
      <c r="B819" s="94" t="s">
        <v>1596</v>
      </c>
    </row>
    <row r="820" spans="1:2">
      <c r="A820" s="95" t="s">
        <v>2966</v>
      </c>
      <c r="B820" s="96" t="s">
        <v>2967</v>
      </c>
    </row>
    <row r="821" spans="1:2" ht="24">
      <c r="A821" s="93" t="s">
        <v>2968</v>
      </c>
      <c r="B821" s="94" t="s">
        <v>2969</v>
      </c>
    </row>
    <row r="822" spans="1:2">
      <c r="A822" s="95" t="s">
        <v>2970</v>
      </c>
      <c r="B822" s="96" t="s">
        <v>1404</v>
      </c>
    </row>
    <row r="823" spans="1:2">
      <c r="A823" s="93" t="s">
        <v>2971</v>
      </c>
      <c r="B823" s="94" t="s">
        <v>1782</v>
      </c>
    </row>
    <row r="824" spans="1:2">
      <c r="A824" s="95" t="s">
        <v>2972</v>
      </c>
      <c r="B824" s="96" t="s">
        <v>2973</v>
      </c>
    </row>
    <row r="825" spans="1:2">
      <c r="A825" s="93" t="s">
        <v>2974</v>
      </c>
      <c r="B825" s="94" t="s">
        <v>2975</v>
      </c>
    </row>
    <row r="826" spans="1:2">
      <c r="A826" s="95" t="s">
        <v>2976</v>
      </c>
      <c r="B826" s="96" t="s">
        <v>1691</v>
      </c>
    </row>
    <row r="827" spans="1:2">
      <c r="A827" s="93" t="s">
        <v>2977</v>
      </c>
      <c r="B827" s="94" t="s">
        <v>2978</v>
      </c>
    </row>
    <row r="828" spans="1:2">
      <c r="A828" s="95" t="s">
        <v>2979</v>
      </c>
      <c r="B828" s="96" t="s">
        <v>2980</v>
      </c>
    </row>
    <row r="829" spans="1:2">
      <c r="A829" s="93" t="s">
        <v>2981</v>
      </c>
      <c r="B829" s="94" t="s">
        <v>2982</v>
      </c>
    </row>
    <row r="830" spans="1:2" ht="24">
      <c r="A830" s="95" t="s">
        <v>2983</v>
      </c>
      <c r="B830" s="96" t="s">
        <v>2984</v>
      </c>
    </row>
    <row r="831" spans="1:2">
      <c r="A831" s="93" t="s">
        <v>2985</v>
      </c>
      <c r="B831" s="94" t="s">
        <v>2986</v>
      </c>
    </row>
    <row r="832" spans="1:2">
      <c r="A832" s="95" t="s">
        <v>2987</v>
      </c>
      <c r="B832" s="96" t="s">
        <v>2988</v>
      </c>
    </row>
    <row r="833" spans="1:2">
      <c r="A833" s="93" t="s">
        <v>2989</v>
      </c>
      <c r="B833" s="94" t="s">
        <v>2990</v>
      </c>
    </row>
    <row r="834" spans="1:2">
      <c r="A834" s="95" t="s">
        <v>2991</v>
      </c>
      <c r="B834" s="96" t="s">
        <v>2992</v>
      </c>
    </row>
    <row r="835" spans="1:2">
      <c r="A835" s="93" t="s">
        <v>2993</v>
      </c>
      <c r="B835" s="94" t="s">
        <v>2994</v>
      </c>
    </row>
    <row r="836" spans="1:2">
      <c r="A836" s="95" t="s">
        <v>2995</v>
      </c>
      <c r="B836" s="96" t="s">
        <v>2096</v>
      </c>
    </row>
    <row r="837" spans="1:2" ht="24">
      <c r="A837" s="93" t="s">
        <v>2996</v>
      </c>
      <c r="B837" s="94" t="s">
        <v>2997</v>
      </c>
    </row>
    <row r="838" spans="1:2" ht="24">
      <c r="A838" s="95" t="s">
        <v>2998</v>
      </c>
      <c r="B838" s="96" t="s">
        <v>2999</v>
      </c>
    </row>
    <row r="839" spans="1:2">
      <c r="A839" s="93" t="s">
        <v>3000</v>
      </c>
      <c r="B839" s="94" t="s">
        <v>3001</v>
      </c>
    </row>
    <row r="840" spans="1:2">
      <c r="A840" s="95" t="s">
        <v>3002</v>
      </c>
      <c r="B840" s="96" t="s">
        <v>3003</v>
      </c>
    </row>
    <row r="841" spans="1:2">
      <c r="A841" s="93" t="s">
        <v>3004</v>
      </c>
      <c r="B841" s="94" t="s">
        <v>3005</v>
      </c>
    </row>
    <row r="842" spans="1:2">
      <c r="A842" s="95" t="s">
        <v>3006</v>
      </c>
      <c r="B842" s="96" t="s">
        <v>3007</v>
      </c>
    </row>
    <row r="843" spans="1:2">
      <c r="A843" s="93" t="s">
        <v>3008</v>
      </c>
      <c r="B843" s="94" t="s">
        <v>3009</v>
      </c>
    </row>
    <row r="844" spans="1:2" ht="24">
      <c r="A844" s="95" t="s">
        <v>3010</v>
      </c>
      <c r="B844" s="96" t="s">
        <v>3011</v>
      </c>
    </row>
    <row r="845" spans="1:2">
      <c r="A845" s="93" t="s">
        <v>3012</v>
      </c>
      <c r="B845" s="94" t="s">
        <v>3013</v>
      </c>
    </row>
    <row r="846" spans="1:2" ht="36">
      <c r="A846" s="95" t="s">
        <v>3014</v>
      </c>
      <c r="B846" s="96" t="s">
        <v>3015</v>
      </c>
    </row>
    <row r="847" spans="1:2">
      <c r="A847" s="93" t="s">
        <v>3016</v>
      </c>
      <c r="B847" s="94" t="s">
        <v>3017</v>
      </c>
    </row>
    <row r="848" spans="1:2" ht="24">
      <c r="A848" s="95" t="s">
        <v>3018</v>
      </c>
      <c r="B848" s="96" t="s">
        <v>3019</v>
      </c>
    </row>
    <row r="849" spans="1:2">
      <c r="A849" s="93" t="s">
        <v>3020</v>
      </c>
      <c r="B849" s="94" t="s">
        <v>3021</v>
      </c>
    </row>
    <row r="850" spans="1:2">
      <c r="A850" s="95" t="s">
        <v>3022</v>
      </c>
      <c r="B850" s="96" t="s">
        <v>2062</v>
      </c>
    </row>
    <row r="851" spans="1:2">
      <c r="A851" s="93" t="s">
        <v>3023</v>
      </c>
      <c r="B851" s="94" t="s">
        <v>3024</v>
      </c>
    </row>
    <row r="852" spans="1:2">
      <c r="A852" s="95" t="s">
        <v>3025</v>
      </c>
      <c r="B852" s="96" t="s">
        <v>1406</v>
      </c>
    </row>
    <row r="853" spans="1:2">
      <c r="A853" s="93" t="s">
        <v>3026</v>
      </c>
      <c r="B853" s="94" t="s">
        <v>3027</v>
      </c>
    </row>
    <row r="854" spans="1:2" ht="24">
      <c r="A854" s="95" t="s">
        <v>3028</v>
      </c>
      <c r="B854" s="96" t="s">
        <v>3029</v>
      </c>
    </row>
    <row r="855" spans="1:2">
      <c r="A855" s="93" t="s">
        <v>3030</v>
      </c>
      <c r="B855" s="94" t="s">
        <v>1414</v>
      </c>
    </row>
    <row r="856" spans="1:2">
      <c r="A856" s="95" t="s">
        <v>3031</v>
      </c>
      <c r="B856" s="96" t="s">
        <v>2098</v>
      </c>
    </row>
    <row r="857" spans="1:2">
      <c r="A857" s="93" t="s">
        <v>3032</v>
      </c>
      <c r="B857" s="94" t="s">
        <v>2294</v>
      </c>
    </row>
    <row r="858" spans="1:2">
      <c r="A858" s="95" t="s">
        <v>3033</v>
      </c>
      <c r="B858" s="96" t="s">
        <v>3034</v>
      </c>
    </row>
    <row r="859" spans="1:2">
      <c r="A859" s="93" t="s">
        <v>3035</v>
      </c>
      <c r="B859" s="94" t="s">
        <v>3036</v>
      </c>
    </row>
    <row r="860" spans="1:2">
      <c r="A860" s="95" t="s">
        <v>3037</v>
      </c>
      <c r="B860" s="96" t="s">
        <v>3038</v>
      </c>
    </row>
    <row r="861" spans="1:2">
      <c r="A861" s="93" t="s">
        <v>3039</v>
      </c>
      <c r="B861" s="94" t="s">
        <v>3040</v>
      </c>
    </row>
    <row r="862" spans="1:2">
      <c r="A862" s="95" t="s">
        <v>3041</v>
      </c>
      <c r="B862" s="96" t="s">
        <v>3042</v>
      </c>
    </row>
    <row r="863" spans="1:2">
      <c r="A863" s="93" t="s">
        <v>3043</v>
      </c>
      <c r="B863" s="94" t="s">
        <v>3044</v>
      </c>
    </row>
    <row r="864" spans="1:2">
      <c r="A864" s="95" t="s">
        <v>3045</v>
      </c>
      <c r="B864" s="96" t="s">
        <v>3046</v>
      </c>
    </row>
    <row r="865" spans="1:2">
      <c r="A865" s="93" t="s">
        <v>3047</v>
      </c>
      <c r="B865" s="94" t="s">
        <v>3048</v>
      </c>
    </row>
    <row r="866" spans="1:2">
      <c r="A866" s="95" t="s">
        <v>3049</v>
      </c>
      <c r="B866" s="96" t="s">
        <v>3050</v>
      </c>
    </row>
    <row r="867" spans="1:2">
      <c r="A867" s="93" t="s">
        <v>3051</v>
      </c>
      <c r="B867" s="94" t="s">
        <v>3052</v>
      </c>
    </row>
    <row r="868" spans="1:2" ht="24">
      <c r="A868" s="95" t="s">
        <v>3053</v>
      </c>
      <c r="B868" s="96" t="s">
        <v>1450</v>
      </c>
    </row>
    <row r="869" spans="1:2">
      <c r="A869" s="93" t="s">
        <v>3054</v>
      </c>
      <c r="B869" s="94" t="s">
        <v>3055</v>
      </c>
    </row>
    <row r="870" spans="1:2" ht="24">
      <c r="A870" s="95" t="s">
        <v>3056</v>
      </c>
      <c r="B870" s="96" t="s">
        <v>3057</v>
      </c>
    </row>
    <row r="871" spans="1:2">
      <c r="A871" s="93" t="s">
        <v>3058</v>
      </c>
      <c r="B871" s="94" t="s">
        <v>3059</v>
      </c>
    </row>
    <row r="872" spans="1:2">
      <c r="A872" s="95" t="s">
        <v>3060</v>
      </c>
      <c r="B872" s="96" t="s">
        <v>3061</v>
      </c>
    </row>
    <row r="873" spans="1:2" ht="36">
      <c r="A873" s="93" t="s">
        <v>3062</v>
      </c>
      <c r="B873" s="94" t="s">
        <v>3063</v>
      </c>
    </row>
    <row r="874" spans="1:2" ht="24">
      <c r="A874" s="95" t="s">
        <v>3064</v>
      </c>
      <c r="B874" s="96" t="s">
        <v>3065</v>
      </c>
    </row>
    <row r="875" spans="1:2">
      <c r="A875" s="93" t="s">
        <v>3066</v>
      </c>
      <c r="B875" s="94" t="s">
        <v>1699</v>
      </c>
    </row>
    <row r="876" spans="1:2">
      <c r="A876" s="95" t="s">
        <v>3067</v>
      </c>
      <c r="B876" s="96" t="s">
        <v>3068</v>
      </c>
    </row>
    <row r="877" spans="1:2">
      <c r="A877" s="93" t="s">
        <v>3069</v>
      </c>
      <c r="B877" s="94" t="s">
        <v>3070</v>
      </c>
    </row>
    <row r="878" spans="1:2">
      <c r="A878" s="95" t="s">
        <v>3071</v>
      </c>
      <c r="B878" s="96" t="s">
        <v>3072</v>
      </c>
    </row>
    <row r="879" spans="1:2">
      <c r="A879" s="93" t="s">
        <v>3073</v>
      </c>
      <c r="B879" s="94" t="s">
        <v>3074</v>
      </c>
    </row>
    <row r="880" spans="1:2" ht="24">
      <c r="A880" s="95" t="s">
        <v>3075</v>
      </c>
      <c r="B880" s="96" t="s">
        <v>3076</v>
      </c>
    </row>
    <row r="881" spans="1:2">
      <c r="A881" s="93" t="s">
        <v>3077</v>
      </c>
      <c r="B881" s="94" t="s">
        <v>3078</v>
      </c>
    </row>
    <row r="882" spans="1:2">
      <c r="A882" s="95" t="s">
        <v>3079</v>
      </c>
      <c r="B882" s="96" t="s">
        <v>3080</v>
      </c>
    </row>
    <row r="883" spans="1:2">
      <c r="A883" s="93" t="s">
        <v>3081</v>
      </c>
      <c r="B883" s="94" t="s">
        <v>3082</v>
      </c>
    </row>
    <row r="884" spans="1:2">
      <c r="A884" s="95" t="s">
        <v>3083</v>
      </c>
      <c r="B884" s="96" t="s">
        <v>3084</v>
      </c>
    </row>
    <row r="885" spans="1:2">
      <c r="A885" s="93" t="s">
        <v>3085</v>
      </c>
      <c r="B885" s="94" t="s">
        <v>1480</v>
      </c>
    </row>
    <row r="886" spans="1:2">
      <c r="A886" s="95" t="s">
        <v>3086</v>
      </c>
      <c r="B886" s="96" t="s">
        <v>3087</v>
      </c>
    </row>
    <row r="887" spans="1:2">
      <c r="A887" s="93" t="s">
        <v>3088</v>
      </c>
      <c r="B887" s="94" t="s">
        <v>3089</v>
      </c>
    </row>
    <row r="888" spans="1:2">
      <c r="A888" s="95" t="s">
        <v>3090</v>
      </c>
      <c r="B888" s="96" t="s">
        <v>3091</v>
      </c>
    </row>
    <row r="889" spans="1:2">
      <c r="A889" s="93" t="s">
        <v>3092</v>
      </c>
      <c r="B889" s="94" t="s">
        <v>3093</v>
      </c>
    </row>
    <row r="890" spans="1:2" ht="24">
      <c r="A890" s="95" t="s">
        <v>3094</v>
      </c>
      <c r="B890" s="96" t="s">
        <v>3095</v>
      </c>
    </row>
    <row r="891" spans="1:2">
      <c r="A891" s="93" t="s">
        <v>3096</v>
      </c>
      <c r="B891" s="94" t="s">
        <v>3097</v>
      </c>
    </row>
    <row r="892" spans="1:2">
      <c r="A892" s="95" t="s">
        <v>3098</v>
      </c>
      <c r="B892" s="96" t="s">
        <v>3099</v>
      </c>
    </row>
    <row r="893" spans="1:2">
      <c r="A893" s="93" t="s">
        <v>3100</v>
      </c>
      <c r="B893" s="94" t="s">
        <v>3101</v>
      </c>
    </row>
    <row r="894" spans="1:2">
      <c r="A894" s="95" t="s">
        <v>3102</v>
      </c>
      <c r="B894" s="96" t="s">
        <v>2210</v>
      </c>
    </row>
    <row r="895" spans="1:2">
      <c r="A895" s="93" t="s">
        <v>3103</v>
      </c>
      <c r="B895" s="94" t="s">
        <v>3104</v>
      </c>
    </row>
    <row r="896" spans="1:2" ht="24">
      <c r="A896" s="95" t="s">
        <v>3105</v>
      </c>
      <c r="B896" s="96" t="s">
        <v>3106</v>
      </c>
    </row>
    <row r="897" spans="1:2">
      <c r="A897" s="93" t="s">
        <v>3107</v>
      </c>
      <c r="B897" s="94" t="s">
        <v>3108</v>
      </c>
    </row>
    <row r="898" spans="1:2">
      <c r="A898" s="95" t="s">
        <v>3109</v>
      </c>
      <c r="B898" s="96" t="s">
        <v>3110</v>
      </c>
    </row>
    <row r="899" spans="1:2">
      <c r="A899" s="93" t="s">
        <v>3111</v>
      </c>
      <c r="B899" s="94" t="s">
        <v>3112</v>
      </c>
    </row>
    <row r="900" spans="1:2">
      <c r="A900" s="95" t="s">
        <v>3113</v>
      </c>
      <c r="B900" s="96" t="s">
        <v>3114</v>
      </c>
    </row>
    <row r="901" spans="1:2">
      <c r="A901" s="93" t="s">
        <v>3115</v>
      </c>
      <c r="B901" s="94" t="s">
        <v>3116</v>
      </c>
    </row>
    <row r="902" spans="1:2">
      <c r="A902" s="95" t="s">
        <v>3117</v>
      </c>
      <c r="B902" s="96" t="s">
        <v>3118</v>
      </c>
    </row>
    <row r="903" spans="1:2">
      <c r="A903" s="93" t="s">
        <v>3119</v>
      </c>
      <c r="B903" s="94" t="s">
        <v>3120</v>
      </c>
    </row>
    <row r="904" spans="1:2">
      <c r="A904" s="95" t="s">
        <v>3121</v>
      </c>
      <c r="B904" s="96" t="s">
        <v>3122</v>
      </c>
    </row>
    <row r="905" spans="1:2">
      <c r="A905" s="93" t="s">
        <v>3123</v>
      </c>
      <c r="B905" s="94" t="s">
        <v>3124</v>
      </c>
    </row>
    <row r="906" spans="1:2" ht="24">
      <c r="A906" s="95" t="s">
        <v>3125</v>
      </c>
      <c r="B906" s="96" t="s">
        <v>3126</v>
      </c>
    </row>
    <row r="907" spans="1:2">
      <c r="A907" s="93" t="s">
        <v>3127</v>
      </c>
      <c r="B907" s="94" t="s">
        <v>3128</v>
      </c>
    </row>
    <row r="908" spans="1:2" ht="24">
      <c r="A908" s="95" t="s">
        <v>3129</v>
      </c>
      <c r="B908" s="96" t="s">
        <v>3130</v>
      </c>
    </row>
    <row r="909" spans="1:2">
      <c r="A909" s="93" t="s">
        <v>3131</v>
      </c>
      <c r="B909" s="94" t="s">
        <v>3132</v>
      </c>
    </row>
    <row r="910" spans="1:2" ht="24">
      <c r="A910" s="95" t="s">
        <v>3133</v>
      </c>
      <c r="B910" s="96" t="s">
        <v>3134</v>
      </c>
    </row>
    <row r="911" spans="1:2" ht="24">
      <c r="A911" s="93" t="s">
        <v>3135</v>
      </c>
      <c r="B911" s="94" t="s">
        <v>3136</v>
      </c>
    </row>
    <row r="912" spans="1:2" ht="24">
      <c r="A912" s="95" t="s">
        <v>3137</v>
      </c>
      <c r="B912" s="96" t="s">
        <v>3138</v>
      </c>
    </row>
    <row r="913" spans="1:2">
      <c r="A913" s="93" t="s">
        <v>3139</v>
      </c>
      <c r="B913" s="94" t="s">
        <v>1542</v>
      </c>
    </row>
    <row r="914" spans="1:2" ht="24">
      <c r="A914" s="95" t="s">
        <v>3140</v>
      </c>
      <c r="B914" s="96" t="s">
        <v>3141</v>
      </c>
    </row>
    <row r="915" spans="1:2" ht="24">
      <c r="A915" s="93" t="s">
        <v>3142</v>
      </c>
      <c r="B915" s="94" t="s">
        <v>3143</v>
      </c>
    </row>
    <row r="916" spans="1:2">
      <c r="A916" s="95" t="s">
        <v>3144</v>
      </c>
      <c r="B916" s="96" t="s">
        <v>3145</v>
      </c>
    </row>
    <row r="917" spans="1:2">
      <c r="A917" s="93" t="s">
        <v>3146</v>
      </c>
      <c r="B917" s="94" t="s">
        <v>3147</v>
      </c>
    </row>
    <row r="918" spans="1:2" ht="24">
      <c r="A918" s="95" t="s">
        <v>3148</v>
      </c>
      <c r="B918" s="96" t="s">
        <v>3149</v>
      </c>
    </row>
    <row r="919" spans="1:2" ht="24">
      <c r="A919" s="93" t="s">
        <v>3150</v>
      </c>
      <c r="B919" s="94" t="s">
        <v>3151</v>
      </c>
    </row>
    <row r="920" spans="1:2">
      <c r="A920" s="95" t="s">
        <v>3152</v>
      </c>
      <c r="B920" s="96" t="s">
        <v>3153</v>
      </c>
    </row>
    <row r="921" spans="1:2" ht="36">
      <c r="A921" s="93" t="s">
        <v>3154</v>
      </c>
      <c r="B921" s="94" t="s">
        <v>3155</v>
      </c>
    </row>
    <row r="922" spans="1:2" ht="24">
      <c r="A922" s="95" t="s">
        <v>3156</v>
      </c>
      <c r="B922" s="96" t="s">
        <v>1574</v>
      </c>
    </row>
    <row r="923" spans="1:2" ht="36">
      <c r="A923" s="93" t="s">
        <v>3157</v>
      </c>
      <c r="B923" s="94" t="s">
        <v>3158</v>
      </c>
    </row>
    <row r="924" spans="1:2">
      <c r="A924" s="95" t="s">
        <v>3159</v>
      </c>
      <c r="B924" s="96" t="s">
        <v>3160</v>
      </c>
    </row>
    <row r="925" spans="1:2">
      <c r="A925" s="93" t="s">
        <v>3161</v>
      </c>
      <c r="B925" s="94" t="s">
        <v>3162</v>
      </c>
    </row>
    <row r="926" spans="1:2">
      <c r="A926" s="95" t="s">
        <v>3163</v>
      </c>
      <c r="B926" s="96" t="s">
        <v>3164</v>
      </c>
    </row>
    <row r="927" spans="1:2">
      <c r="A927" s="93" t="s">
        <v>3165</v>
      </c>
      <c r="B927" s="94" t="s">
        <v>2158</v>
      </c>
    </row>
    <row r="928" spans="1:2">
      <c r="A928" s="95" t="s">
        <v>3166</v>
      </c>
      <c r="B928" s="96" t="s">
        <v>3167</v>
      </c>
    </row>
    <row r="929" spans="1:2">
      <c r="A929" s="93" t="s">
        <v>3168</v>
      </c>
      <c r="B929" s="94" t="s">
        <v>3169</v>
      </c>
    </row>
    <row r="930" spans="1:2" ht="24">
      <c r="A930" s="95" t="s">
        <v>3170</v>
      </c>
      <c r="B930" s="96" t="s">
        <v>3171</v>
      </c>
    </row>
    <row r="931" spans="1:2">
      <c r="A931" s="93" t="s">
        <v>3172</v>
      </c>
      <c r="B931" s="94" t="s">
        <v>3173</v>
      </c>
    </row>
    <row r="932" spans="1:2">
      <c r="A932" s="95" t="s">
        <v>3174</v>
      </c>
      <c r="B932" s="96" t="s">
        <v>3175</v>
      </c>
    </row>
    <row r="933" spans="1:2">
      <c r="A933" s="93" t="s">
        <v>3176</v>
      </c>
      <c r="B933" s="94" t="s">
        <v>1759</v>
      </c>
    </row>
    <row r="934" spans="1:2">
      <c r="A934" s="95" t="s">
        <v>3177</v>
      </c>
      <c r="B934" s="96" t="s">
        <v>3178</v>
      </c>
    </row>
    <row r="935" spans="1:2">
      <c r="A935" s="93" t="s">
        <v>3179</v>
      </c>
      <c r="B935" s="94" t="s">
        <v>3180</v>
      </c>
    </row>
    <row r="936" spans="1:2">
      <c r="A936" s="95" t="s">
        <v>3181</v>
      </c>
      <c r="B936" s="96" t="s">
        <v>1782</v>
      </c>
    </row>
    <row r="937" spans="1:2">
      <c r="A937" s="93" t="s">
        <v>3182</v>
      </c>
      <c r="B937" s="94" t="s">
        <v>3183</v>
      </c>
    </row>
    <row r="938" spans="1:2">
      <c r="A938" s="95" t="s">
        <v>3184</v>
      </c>
      <c r="B938" s="96" t="s">
        <v>3185</v>
      </c>
    </row>
    <row r="939" spans="1:2">
      <c r="A939" s="93" t="s">
        <v>3186</v>
      </c>
      <c r="B939" s="94" t="s">
        <v>3187</v>
      </c>
    </row>
    <row r="940" spans="1:2">
      <c r="A940" s="95" t="s">
        <v>3188</v>
      </c>
      <c r="B940" s="96" t="s">
        <v>3189</v>
      </c>
    </row>
    <row r="941" spans="1:2">
      <c r="A941" s="93" t="s">
        <v>3190</v>
      </c>
      <c r="B941" s="94" t="s">
        <v>3191</v>
      </c>
    </row>
    <row r="942" spans="1:2">
      <c r="A942" s="95" t="s">
        <v>3192</v>
      </c>
      <c r="B942" s="96" t="s">
        <v>3193</v>
      </c>
    </row>
    <row r="943" spans="1:2">
      <c r="A943" s="93" t="s">
        <v>3194</v>
      </c>
      <c r="B943" s="94" t="s">
        <v>3195</v>
      </c>
    </row>
    <row r="944" spans="1:2">
      <c r="A944" s="95" t="s">
        <v>3196</v>
      </c>
      <c r="B944" s="96" t="s">
        <v>3197</v>
      </c>
    </row>
    <row r="945" spans="1:2">
      <c r="A945" s="93" t="s">
        <v>3198</v>
      </c>
      <c r="B945" s="94" t="s">
        <v>1504</v>
      </c>
    </row>
    <row r="946" spans="1:2" ht="24">
      <c r="A946" s="95" t="s">
        <v>3199</v>
      </c>
      <c r="B946" s="96" t="s">
        <v>3200</v>
      </c>
    </row>
    <row r="947" spans="1:2">
      <c r="A947" s="93" t="s">
        <v>3201</v>
      </c>
      <c r="B947" s="94" t="s">
        <v>3202</v>
      </c>
    </row>
    <row r="948" spans="1:2">
      <c r="A948" s="95" t="s">
        <v>3203</v>
      </c>
      <c r="B948" s="96" t="s">
        <v>3204</v>
      </c>
    </row>
    <row r="949" spans="1:2">
      <c r="A949" s="93" t="s">
        <v>3205</v>
      </c>
      <c r="B949" s="94" t="s">
        <v>3206</v>
      </c>
    </row>
    <row r="950" spans="1:2">
      <c r="A950" s="95" t="s">
        <v>3207</v>
      </c>
      <c r="B950" s="96" t="s">
        <v>3208</v>
      </c>
    </row>
    <row r="951" spans="1:2">
      <c r="A951" s="93" t="s">
        <v>3209</v>
      </c>
      <c r="B951" s="94" t="s">
        <v>3210</v>
      </c>
    </row>
    <row r="952" spans="1:2" ht="24">
      <c r="A952" s="95" t="s">
        <v>3211</v>
      </c>
      <c r="B952" s="96" t="s">
        <v>3212</v>
      </c>
    </row>
    <row r="953" spans="1:2" ht="24">
      <c r="A953" s="93" t="s">
        <v>3213</v>
      </c>
      <c r="B953" s="94" t="s">
        <v>3214</v>
      </c>
    </row>
    <row r="954" spans="1:2" ht="24">
      <c r="A954" s="95" t="s">
        <v>3215</v>
      </c>
      <c r="B954" s="96" t="s">
        <v>3216</v>
      </c>
    </row>
    <row r="955" spans="1:2" ht="24">
      <c r="A955" s="93" t="s">
        <v>3217</v>
      </c>
      <c r="B955" s="94" t="s">
        <v>3218</v>
      </c>
    </row>
    <row r="956" spans="1:2">
      <c r="A956" s="95" t="s">
        <v>3219</v>
      </c>
      <c r="B956" s="96" t="s">
        <v>3220</v>
      </c>
    </row>
    <row r="957" spans="1:2" ht="24">
      <c r="A957" s="93" t="s">
        <v>3221</v>
      </c>
      <c r="B957" s="94" t="s">
        <v>3222</v>
      </c>
    </row>
    <row r="958" spans="1:2">
      <c r="A958" s="95" t="s">
        <v>3223</v>
      </c>
      <c r="B958" s="96" t="s">
        <v>2158</v>
      </c>
    </row>
    <row r="959" spans="1:2" ht="24">
      <c r="A959" s="93" t="s">
        <v>3224</v>
      </c>
      <c r="B959" s="94" t="s">
        <v>3225</v>
      </c>
    </row>
    <row r="960" spans="1:2" ht="36">
      <c r="A960" s="95" t="s">
        <v>3226</v>
      </c>
      <c r="B960" s="96" t="s">
        <v>3227</v>
      </c>
    </row>
    <row r="961" spans="1:2">
      <c r="A961" s="93" t="s">
        <v>3228</v>
      </c>
      <c r="B961" s="94" t="s">
        <v>3229</v>
      </c>
    </row>
    <row r="962" spans="1:2">
      <c r="A962" s="95" t="s">
        <v>3230</v>
      </c>
      <c r="B962" s="96" t="s">
        <v>3231</v>
      </c>
    </row>
    <row r="963" spans="1:2">
      <c r="A963" s="93" t="s">
        <v>3232</v>
      </c>
      <c r="B963" s="94" t="s">
        <v>3233</v>
      </c>
    </row>
    <row r="964" spans="1:2">
      <c r="A964" s="95" t="s">
        <v>3234</v>
      </c>
      <c r="B964" s="96" t="s">
        <v>3235</v>
      </c>
    </row>
    <row r="965" spans="1:2" ht="24">
      <c r="A965" s="93" t="s">
        <v>3236</v>
      </c>
      <c r="B965" s="94" t="s">
        <v>3237</v>
      </c>
    </row>
    <row r="966" spans="1:2">
      <c r="A966" s="95" t="s">
        <v>3238</v>
      </c>
      <c r="B966" s="96" t="s">
        <v>3239</v>
      </c>
    </row>
    <row r="967" spans="1:2">
      <c r="A967" s="93" t="s">
        <v>3240</v>
      </c>
      <c r="B967" s="94" t="s">
        <v>3241</v>
      </c>
    </row>
    <row r="968" spans="1:2">
      <c r="A968" s="95" t="s">
        <v>3242</v>
      </c>
      <c r="B968" s="96" t="s">
        <v>3243</v>
      </c>
    </row>
    <row r="969" spans="1:2" ht="24">
      <c r="A969" s="93" t="s">
        <v>3244</v>
      </c>
      <c r="B969" s="94" t="s">
        <v>3245</v>
      </c>
    </row>
    <row r="970" spans="1:2" ht="24">
      <c r="A970" s="95" t="s">
        <v>3246</v>
      </c>
      <c r="B970" s="96" t="s">
        <v>3247</v>
      </c>
    </row>
    <row r="971" spans="1:2">
      <c r="A971" s="93" t="s">
        <v>3248</v>
      </c>
      <c r="B971" s="94" t="s">
        <v>3249</v>
      </c>
    </row>
    <row r="972" spans="1:2">
      <c r="A972" s="95" t="s">
        <v>3250</v>
      </c>
      <c r="B972" s="96" t="s">
        <v>3251</v>
      </c>
    </row>
    <row r="973" spans="1:2">
      <c r="A973" s="93" t="s">
        <v>3252</v>
      </c>
      <c r="B973" s="94" t="s">
        <v>3253</v>
      </c>
    </row>
    <row r="974" spans="1:2">
      <c r="A974" s="95" t="s">
        <v>3254</v>
      </c>
      <c r="B974" s="96" t="s">
        <v>3255</v>
      </c>
    </row>
    <row r="975" spans="1:2">
      <c r="A975" s="93" t="s">
        <v>3256</v>
      </c>
      <c r="B975" s="94" t="s">
        <v>3257</v>
      </c>
    </row>
    <row r="976" spans="1:2">
      <c r="A976" s="95" t="s">
        <v>3258</v>
      </c>
      <c r="B976" s="96" t="s">
        <v>3259</v>
      </c>
    </row>
    <row r="977" spans="1:2">
      <c r="A977" s="93" t="s">
        <v>3260</v>
      </c>
      <c r="B977" s="94" t="s">
        <v>3261</v>
      </c>
    </row>
    <row r="978" spans="1:2">
      <c r="A978" s="95" t="s">
        <v>3262</v>
      </c>
      <c r="B978" s="96" t="s">
        <v>3263</v>
      </c>
    </row>
    <row r="979" spans="1:2">
      <c r="A979" s="93" t="s">
        <v>3264</v>
      </c>
      <c r="B979" s="94" t="s">
        <v>3265</v>
      </c>
    </row>
    <row r="980" spans="1:2">
      <c r="A980" s="95" t="s">
        <v>3266</v>
      </c>
      <c r="B980" s="96" t="s">
        <v>3267</v>
      </c>
    </row>
    <row r="981" spans="1:2">
      <c r="A981" s="93" t="s">
        <v>3268</v>
      </c>
      <c r="B981" s="94" t="s">
        <v>3269</v>
      </c>
    </row>
    <row r="982" spans="1:2">
      <c r="A982" s="95" t="s">
        <v>3270</v>
      </c>
      <c r="B982" s="96" t="s">
        <v>3271</v>
      </c>
    </row>
    <row r="983" spans="1:2">
      <c r="A983" s="93" t="s">
        <v>3272</v>
      </c>
      <c r="B983" s="94" t="s">
        <v>3273</v>
      </c>
    </row>
    <row r="984" spans="1:2">
      <c r="A984" s="95" t="s">
        <v>3274</v>
      </c>
      <c r="B984" s="96" t="s">
        <v>3275</v>
      </c>
    </row>
    <row r="985" spans="1:2">
      <c r="A985" s="93" t="s">
        <v>3276</v>
      </c>
      <c r="B985" s="94" t="s">
        <v>3277</v>
      </c>
    </row>
    <row r="986" spans="1:2" ht="48">
      <c r="A986" s="95" t="s">
        <v>3278</v>
      </c>
      <c r="B986" s="96" t="s">
        <v>3279</v>
      </c>
    </row>
    <row r="987" spans="1:2">
      <c r="A987" s="93" t="s">
        <v>3280</v>
      </c>
      <c r="B987" s="94" t="s">
        <v>3281</v>
      </c>
    </row>
    <row r="988" spans="1:2">
      <c r="A988" s="95" t="s">
        <v>3282</v>
      </c>
      <c r="B988" s="96" t="s">
        <v>3283</v>
      </c>
    </row>
    <row r="989" spans="1:2">
      <c r="A989" s="93" t="s">
        <v>3284</v>
      </c>
      <c r="B989" s="94" t="s">
        <v>3285</v>
      </c>
    </row>
    <row r="990" spans="1:2">
      <c r="A990" s="95" t="s">
        <v>3286</v>
      </c>
      <c r="B990" s="96" t="s">
        <v>3287</v>
      </c>
    </row>
    <row r="991" spans="1:2" ht="24">
      <c r="A991" s="93" t="s">
        <v>3288</v>
      </c>
      <c r="B991" s="94" t="s">
        <v>3289</v>
      </c>
    </row>
    <row r="992" spans="1:2">
      <c r="A992" s="95" t="s">
        <v>3290</v>
      </c>
      <c r="B992" s="96" t="s">
        <v>3291</v>
      </c>
    </row>
    <row r="993" spans="1:2">
      <c r="A993" s="93" t="s">
        <v>3292</v>
      </c>
      <c r="B993" s="94" t="s">
        <v>3293</v>
      </c>
    </row>
    <row r="994" spans="1:2">
      <c r="A994" s="95" t="s">
        <v>3294</v>
      </c>
      <c r="B994" s="96" t="s">
        <v>3295</v>
      </c>
    </row>
    <row r="995" spans="1:2" ht="24">
      <c r="A995" s="93" t="s">
        <v>3296</v>
      </c>
      <c r="B995" s="94" t="s">
        <v>3297</v>
      </c>
    </row>
    <row r="996" spans="1:2">
      <c r="A996" s="95" t="s">
        <v>3298</v>
      </c>
      <c r="B996" s="96" t="s">
        <v>3299</v>
      </c>
    </row>
    <row r="997" spans="1:2" ht="24">
      <c r="A997" s="93" t="s">
        <v>3300</v>
      </c>
      <c r="B997" s="94" t="s">
        <v>3301</v>
      </c>
    </row>
    <row r="998" spans="1:2">
      <c r="A998" s="95" t="s">
        <v>3302</v>
      </c>
      <c r="B998" s="96" t="s">
        <v>3303</v>
      </c>
    </row>
    <row r="999" spans="1:2">
      <c r="A999" s="93" t="s">
        <v>3304</v>
      </c>
      <c r="B999" s="94" t="s">
        <v>3305</v>
      </c>
    </row>
    <row r="1000" spans="1:2" ht="24">
      <c r="A1000" s="95" t="s">
        <v>3306</v>
      </c>
      <c r="B1000" s="96" t="s">
        <v>3307</v>
      </c>
    </row>
    <row r="1001" spans="1:2">
      <c r="A1001" s="93" t="s">
        <v>3308</v>
      </c>
      <c r="B1001" s="94" t="s">
        <v>1562</v>
      </c>
    </row>
    <row r="1002" spans="1:2" ht="24">
      <c r="A1002" s="95" t="s">
        <v>3309</v>
      </c>
      <c r="B1002" s="96" t="s">
        <v>3310</v>
      </c>
    </row>
    <row r="1003" spans="1:2">
      <c r="A1003" s="93" t="s">
        <v>3311</v>
      </c>
      <c r="B1003" s="94" t="s">
        <v>2156</v>
      </c>
    </row>
    <row r="1004" spans="1:2" ht="24">
      <c r="A1004" s="95" t="s">
        <v>3312</v>
      </c>
      <c r="B1004" s="96" t="s">
        <v>3313</v>
      </c>
    </row>
    <row r="1005" spans="1:2">
      <c r="A1005" s="93" t="s">
        <v>3314</v>
      </c>
      <c r="B1005" s="94" t="s">
        <v>3315</v>
      </c>
    </row>
    <row r="1006" spans="1:2" ht="24">
      <c r="A1006" s="95" t="s">
        <v>3316</v>
      </c>
      <c r="B1006" s="96" t="s">
        <v>3317</v>
      </c>
    </row>
    <row r="1007" spans="1:2">
      <c r="A1007" s="93" t="s">
        <v>3318</v>
      </c>
      <c r="B1007" s="94" t="s">
        <v>3319</v>
      </c>
    </row>
    <row r="1008" spans="1:2" ht="24">
      <c r="A1008" s="95" t="s">
        <v>3320</v>
      </c>
      <c r="B1008" s="96" t="s">
        <v>3321</v>
      </c>
    </row>
    <row r="1009" spans="1:2">
      <c r="A1009" s="93" t="s">
        <v>3322</v>
      </c>
      <c r="B1009" s="94" t="s">
        <v>3323</v>
      </c>
    </row>
    <row r="1010" spans="1:2">
      <c r="A1010" s="95" t="s">
        <v>3324</v>
      </c>
      <c r="B1010" s="96" t="s">
        <v>3325</v>
      </c>
    </row>
    <row r="1011" spans="1:2" ht="24">
      <c r="A1011" s="93" t="s">
        <v>3326</v>
      </c>
      <c r="B1011" s="94" t="s">
        <v>3327</v>
      </c>
    </row>
    <row r="1012" spans="1:2">
      <c r="A1012" s="95" t="s">
        <v>3328</v>
      </c>
      <c r="B1012" s="96" t="s">
        <v>1402</v>
      </c>
    </row>
    <row r="1013" spans="1:2">
      <c r="A1013" s="93" t="s">
        <v>3329</v>
      </c>
      <c r="B1013" s="94" t="s">
        <v>2098</v>
      </c>
    </row>
    <row r="1014" spans="1:2" ht="24">
      <c r="A1014" s="95" t="s">
        <v>3330</v>
      </c>
      <c r="B1014" s="96" t="s">
        <v>3331</v>
      </c>
    </row>
    <row r="1015" spans="1:2" ht="24">
      <c r="A1015" s="93" t="s">
        <v>3332</v>
      </c>
      <c r="B1015" s="94" t="s">
        <v>3333</v>
      </c>
    </row>
    <row r="1016" spans="1:2" ht="24">
      <c r="A1016" s="95" t="s">
        <v>3334</v>
      </c>
      <c r="B1016" s="96" t="s">
        <v>3335</v>
      </c>
    </row>
    <row r="1017" spans="1:2">
      <c r="A1017" s="93" t="s">
        <v>3336</v>
      </c>
      <c r="B1017" s="94" t="s">
        <v>3337</v>
      </c>
    </row>
    <row r="1018" spans="1:2">
      <c r="A1018" s="95" t="s">
        <v>3338</v>
      </c>
      <c r="B1018" s="96" t="s">
        <v>3339</v>
      </c>
    </row>
    <row r="1019" spans="1:2" ht="24">
      <c r="A1019" s="93" t="s">
        <v>3340</v>
      </c>
      <c r="B1019" s="94" t="s">
        <v>1630</v>
      </c>
    </row>
    <row r="1020" spans="1:2">
      <c r="A1020" s="95" t="s">
        <v>3341</v>
      </c>
      <c r="B1020" s="96" t="s">
        <v>3342</v>
      </c>
    </row>
    <row r="1021" spans="1:2">
      <c r="A1021" s="93" t="s">
        <v>3343</v>
      </c>
      <c r="B1021" s="94" t="s">
        <v>3344</v>
      </c>
    </row>
    <row r="1022" spans="1:2">
      <c r="A1022" s="95" t="s">
        <v>3345</v>
      </c>
      <c r="B1022" s="96" t="s">
        <v>3346</v>
      </c>
    </row>
    <row r="1023" spans="1:2">
      <c r="A1023" s="93" t="s">
        <v>3347</v>
      </c>
      <c r="B1023" s="94" t="s">
        <v>3348</v>
      </c>
    </row>
    <row r="1024" spans="1:2">
      <c r="A1024" s="95" t="s">
        <v>3349</v>
      </c>
      <c r="B1024" s="96" t="s">
        <v>3350</v>
      </c>
    </row>
    <row r="1025" spans="1:2">
      <c r="A1025" s="93" t="s">
        <v>3351</v>
      </c>
      <c r="B1025" s="94" t="s">
        <v>3352</v>
      </c>
    </row>
    <row r="1026" spans="1:2">
      <c r="A1026" s="95" t="s">
        <v>3353</v>
      </c>
      <c r="B1026" s="96" t="s">
        <v>3354</v>
      </c>
    </row>
    <row r="1027" spans="1:2">
      <c r="A1027" s="93" t="s">
        <v>3355</v>
      </c>
      <c r="B1027" s="94" t="s">
        <v>3356</v>
      </c>
    </row>
    <row r="1028" spans="1:2">
      <c r="A1028" s="95" t="s">
        <v>3357</v>
      </c>
      <c r="B1028" s="96" t="s">
        <v>3358</v>
      </c>
    </row>
    <row r="1029" spans="1:2">
      <c r="A1029" s="93" t="s">
        <v>3359</v>
      </c>
      <c r="B1029" s="94" t="s">
        <v>3360</v>
      </c>
    </row>
    <row r="1030" spans="1:2">
      <c r="A1030" s="95" t="s">
        <v>3361</v>
      </c>
      <c r="B1030" s="96" t="s">
        <v>3362</v>
      </c>
    </row>
    <row r="1031" spans="1:2">
      <c r="A1031" s="93" t="s">
        <v>3363</v>
      </c>
      <c r="B1031" s="94" t="s">
        <v>1504</v>
      </c>
    </row>
    <row r="1032" spans="1:2">
      <c r="A1032" s="95" t="s">
        <v>3364</v>
      </c>
      <c r="B1032" s="96" t="s">
        <v>1856</v>
      </c>
    </row>
    <row r="1033" spans="1:2">
      <c r="A1033" s="93" t="s">
        <v>3365</v>
      </c>
      <c r="B1033" s="94" t="s">
        <v>3366</v>
      </c>
    </row>
    <row r="1034" spans="1:2">
      <c r="A1034" s="95" t="s">
        <v>3367</v>
      </c>
      <c r="B1034" s="96" t="s">
        <v>3368</v>
      </c>
    </row>
    <row r="1035" spans="1:2">
      <c r="A1035" s="93" t="s">
        <v>3369</v>
      </c>
      <c r="B1035" s="94" t="s">
        <v>3370</v>
      </c>
    </row>
    <row r="1036" spans="1:2">
      <c r="A1036" s="95" t="s">
        <v>3371</v>
      </c>
      <c r="B1036" s="96" t="s">
        <v>2765</v>
      </c>
    </row>
    <row r="1037" spans="1:2">
      <c r="A1037" s="93" t="s">
        <v>3372</v>
      </c>
      <c r="B1037" s="94" t="s">
        <v>3373</v>
      </c>
    </row>
    <row r="1038" spans="1:2" ht="24">
      <c r="A1038" s="95" t="s">
        <v>3374</v>
      </c>
      <c r="B1038" s="96" t="s">
        <v>3375</v>
      </c>
    </row>
    <row r="1039" spans="1:2">
      <c r="A1039" s="93" t="s">
        <v>3376</v>
      </c>
      <c r="B1039" s="94" t="s">
        <v>3220</v>
      </c>
    </row>
    <row r="1040" spans="1:2">
      <c r="A1040" s="95" t="s">
        <v>3377</v>
      </c>
      <c r="B1040" s="96" t="s">
        <v>3378</v>
      </c>
    </row>
    <row r="1041" spans="1:2">
      <c r="A1041" s="93" t="s">
        <v>3379</v>
      </c>
      <c r="B1041" s="94" t="s">
        <v>3380</v>
      </c>
    </row>
    <row r="1042" spans="1:2">
      <c r="A1042" s="95" t="s">
        <v>3381</v>
      </c>
      <c r="B1042" s="96" t="s">
        <v>3382</v>
      </c>
    </row>
    <row r="1043" spans="1:2">
      <c r="A1043" s="93" t="s">
        <v>3383</v>
      </c>
      <c r="B1043" s="94" t="s">
        <v>3384</v>
      </c>
    </row>
    <row r="1044" spans="1:2">
      <c r="A1044" s="95" t="s">
        <v>3385</v>
      </c>
      <c r="B1044" s="96" t="s">
        <v>3386</v>
      </c>
    </row>
    <row r="1045" spans="1:2">
      <c r="A1045" s="93" t="s">
        <v>3387</v>
      </c>
      <c r="B1045" s="94" t="s">
        <v>3388</v>
      </c>
    </row>
    <row r="1046" spans="1:2">
      <c r="A1046" s="95" t="s">
        <v>3389</v>
      </c>
      <c r="B1046" s="96" t="s">
        <v>3390</v>
      </c>
    </row>
    <row r="1047" spans="1:2">
      <c r="A1047" s="93" t="s">
        <v>3391</v>
      </c>
      <c r="B1047" s="94" t="s">
        <v>3392</v>
      </c>
    </row>
    <row r="1048" spans="1:2">
      <c r="A1048" s="95" t="s">
        <v>3393</v>
      </c>
      <c r="B1048" s="96" t="s">
        <v>3394</v>
      </c>
    </row>
    <row r="1049" spans="1:2">
      <c r="A1049" s="93" t="s">
        <v>3395</v>
      </c>
      <c r="B1049" s="94" t="s">
        <v>3396</v>
      </c>
    </row>
    <row r="1050" spans="1:2">
      <c r="A1050" s="95" t="s">
        <v>3397</v>
      </c>
      <c r="B1050" s="96" t="s">
        <v>3398</v>
      </c>
    </row>
    <row r="1051" spans="1:2">
      <c r="A1051" s="93" t="s">
        <v>3399</v>
      </c>
      <c r="B1051" s="94" t="s">
        <v>3400</v>
      </c>
    </row>
    <row r="1052" spans="1:2" ht="24">
      <c r="A1052" s="95" t="s">
        <v>3401</v>
      </c>
      <c r="B1052" s="96" t="s">
        <v>3402</v>
      </c>
    </row>
    <row r="1053" spans="1:2">
      <c r="A1053" s="93" t="s">
        <v>3403</v>
      </c>
      <c r="B1053" s="94" t="s">
        <v>3404</v>
      </c>
    </row>
    <row r="1054" spans="1:2" ht="24">
      <c r="A1054" s="95" t="s">
        <v>3405</v>
      </c>
      <c r="B1054" s="96" t="s">
        <v>3406</v>
      </c>
    </row>
    <row r="1055" spans="1:2">
      <c r="A1055" s="93" t="s">
        <v>3407</v>
      </c>
      <c r="B1055" s="94" t="s">
        <v>3408</v>
      </c>
    </row>
    <row r="1056" spans="1:2">
      <c r="A1056" s="95" t="s">
        <v>3409</v>
      </c>
      <c r="B1056" s="96" t="s">
        <v>3410</v>
      </c>
    </row>
    <row r="1057" spans="1:2">
      <c r="A1057" s="93" t="s">
        <v>3411</v>
      </c>
      <c r="B1057" s="94" t="s">
        <v>3412</v>
      </c>
    </row>
    <row r="1058" spans="1:2">
      <c r="A1058" s="95" t="s">
        <v>3413</v>
      </c>
      <c r="B1058" s="96" t="s">
        <v>3414</v>
      </c>
    </row>
    <row r="1059" spans="1:2">
      <c r="A1059" s="93" t="s">
        <v>3415</v>
      </c>
      <c r="B1059" s="94" t="s">
        <v>3416</v>
      </c>
    </row>
    <row r="1060" spans="1:2" ht="24">
      <c r="A1060" s="95" t="s">
        <v>3417</v>
      </c>
      <c r="B1060" s="96" t="s">
        <v>3418</v>
      </c>
    </row>
    <row r="1061" spans="1:2">
      <c r="A1061" s="93" t="s">
        <v>3419</v>
      </c>
      <c r="B1061" s="94" t="s">
        <v>3420</v>
      </c>
    </row>
    <row r="1062" spans="1:2">
      <c r="A1062" s="95" t="s">
        <v>3421</v>
      </c>
      <c r="B1062" s="96" t="s">
        <v>3422</v>
      </c>
    </row>
    <row r="1063" spans="1:2" ht="24">
      <c r="A1063" s="93" t="s">
        <v>3423</v>
      </c>
      <c r="B1063" s="94" t="s">
        <v>3424</v>
      </c>
    </row>
    <row r="1064" spans="1:2">
      <c r="A1064" s="95" t="s">
        <v>3425</v>
      </c>
      <c r="B1064" s="96" t="s">
        <v>3426</v>
      </c>
    </row>
    <row r="1065" spans="1:2">
      <c r="A1065" s="93" t="s">
        <v>3427</v>
      </c>
      <c r="B1065" s="94" t="s">
        <v>3428</v>
      </c>
    </row>
    <row r="1066" spans="1:2" ht="24">
      <c r="A1066" s="95" t="s">
        <v>3429</v>
      </c>
      <c r="B1066" s="96" t="s">
        <v>3430</v>
      </c>
    </row>
    <row r="1067" spans="1:2">
      <c r="A1067" s="93" t="s">
        <v>3431</v>
      </c>
      <c r="B1067" s="94" t="s">
        <v>3432</v>
      </c>
    </row>
    <row r="1068" spans="1:2">
      <c r="A1068" s="95" t="s">
        <v>3433</v>
      </c>
      <c r="B1068" s="96" t="s">
        <v>3434</v>
      </c>
    </row>
    <row r="1069" spans="1:2" ht="24">
      <c r="A1069" s="93" t="s">
        <v>3435</v>
      </c>
      <c r="B1069" s="94" t="s">
        <v>1544</v>
      </c>
    </row>
    <row r="1070" spans="1:2">
      <c r="A1070" s="95" t="s">
        <v>3436</v>
      </c>
      <c r="B1070" s="96" t="s">
        <v>3437</v>
      </c>
    </row>
    <row r="1071" spans="1:2" ht="36">
      <c r="A1071" s="93" t="s">
        <v>3438</v>
      </c>
      <c r="B1071" s="94" t="s">
        <v>3439</v>
      </c>
    </row>
    <row r="1072" spans="1:2">
      <c r="A1072" s="95" t="s">
        <v>3440</v>
      </c>
      <c r="B1072" s="96" t="s">
        <v>3441</v>
      </c>
    </row>
    <row r="1073" spans="1:2">
      <c r="A1073" s="93" t="s">
        <v>3442</v>
      </c>
      <c r="B1073" s="94" t="s">
        <v>3443</v>
      </c>
    </row>
    <row r="1074" spans="1:2">
      <c r="A1074" s="95" t="s">
        <v>3444</v>
      </c>
      <c r="B1074" s="96" t="s">
        <v>3445</v>
      </c>
    </row>
    <row r="1075" spans="1:2">
      <c r="A1075" s="93" t="s">
        <v>3446</v>
      </c>
      <c r="B1075" s="94" t="s">
        <v>1759</v>
      </c>
    </row>
    <row r="1076" spans="1:2">
      <c r="A1076" s="95" t="s">
        <v>3447</v>
      </c>
      <c r="B1076" s="96" t="s">
        <v>3448</v>
      </c>
    </row>
    <row r="1077" spans="1:2">
      <c r="A1077" s="93" t="s">
        <v>3449</v>
      </c>
      <c r="B1077" s="94" t="s">
        <v>2790</v>
      </c>
    </row>
    <row r="1078" spans="1:2">
      <c r="A1078" s="95" t="s">
        <v>3450</v>
      </c>
      <c r="B1078" s="96" t="s">
        <v>3451</v>
      </c>
    </row>
    <row r="1079" spans="1:2" ht="24">
      <c r="A1079" s="93" t="s">
        <v>3452</v>
      </c>
      <c r="B1079" s="94" t="s">
        <v>3453</v>
      </c>
    </row>
    <row r="1080" spans="1:2" ht="24">
      <c r="A1080" s="95" t="s">
        <v>3454</v>
      </c>
      <c r="B1080" s="96" t="s">
        <v>3455</v>
      </c>
    </row>
    <row r="1081" spans="1:2" ht="24">
      <c r="A1081" s="93" t="s">
        <v>3456</v>
      </c>
      <c r="B1081" s="94" t="s">
        <v>3457</v>
      </c>
    </row>
    <row r="1082" spans="1:2" ht="24">
      <c r="A1082" s="95" t="s">
        <v>3458</v>
      </c>
      <c r="B1082" s="96" t="s">
        <v>3459</v>
      </c>
    </row>
    <row r="1083" spans="1:2">
      <c r="A1083" s="93" t="s">
        <v>3460</v>
      </c>
      <c r="B1083" s="94" t="s">
        <v>3461</v>
      </c>
    </row>
    <row r="1084" spans="1:2" ht="24">
      <c r="A1084" s="95" t="s">
        <v>3462</v>
      </c>
      <c r="B1084" s="96" t="s">
        <v>1554</v>
      </c>
    </row>
    <row r="1085" spans="1:2">
      <c r="A1085" s="93" t="s">
        <v>3463</v>
      </c>
      <c r="B1085" s="94" t="s">
        <v>3153</v>
      </c>
    </row>
    <row r="1086" spans="1:2">
      <c r="A1086" s="95" t="s">
        <v>3464</v>
      </c>
      <c r="B1086" s="96" t="s">
        <v>2956</v>
      </c>
    </row>
    <row r="1087" spans="1:2" ht="24">
      <c r="A1087" s="93" t="s">
        <v>3465</v>
      </c>
      <c r="B1087" s="94" t="s">
        <v>3466</v>
      </c>
    </row>
    <row r="1088" spans="1:2" ht="24">
      <c r="A1088" s="95" t="s">
        <v>3467</v>
      </c>
      <c r="B1088" s="96" t="s">
        <v>3468</v>
      </c>
    </row>
    <row r="1089" spans="1:2" ht="24">
      <c r="A1089" s="93" t="s">
        <v>3469</v>
      </c>
      <c r="B1089" s="94" t="s">
        <v>3143</v>
      </c>
    </row>
    <row r="1090" spans="1:2" ht="24">
      <c r="A1090" s="95" t="s">
        <v>3470</v>
      </c>
      <c r="B1090" s="96" t="s">
        <v>2859</v>
      </c>
    </row>
    <row r="1091" spans="1:2">
      <c r="A1091" s="93" t="s">
        <v>3471</v>
      </c>
      <c r="B1091" s="94" t="s">
        <v>3472</v>
      </c>
    </row>
    <row r="1092" spans="1:2" ht="24">
      <c r="A1092" s="95" t="s">
        <v>3473</v>
      </c>
      <c r="B1092" s="96" t="s">
        <v>3474</v>
      </c>
    </row>
    <row r="1093" spans="1:2" ht="24">
      <c r="A1093" s="93" t="s">
        <v>3475</v>
      </c>
      <c r="B1093" s="94" t="s">
        <v>3476</v>
      </c>
    </row>
    <row r="1094" spans="1:2" ht="24">
      <c r="A1094" s="95" t="s">
        <v>3477</v>
      </c>
      <c r="B1094" s="96" t="s">
        <v>3478</v>
      </c>
    </row>
    <row r="1095" spans="1:2">
      <c r="A1095" s="93" t="s">
        <v>3479</v>
      </c>
      <c r="B1095" s="94" t="s">
        <v>1856</v>
      </c>
    </row>
    <row r="1096" spans="1:2" ht="24">
      <c r="A1096" s="95" t="s">
        <v>3480</v>
      </c>
      <c r="B1096" s="96" t="s">
        <v>3481</v>
      </c>
    </row>
    <row r="1097" spans="1:2" ht="24">
      <c r="A1097" s="93" t="s">
        <v>3482</v>
      </c>
      <c r="B1097" s="94" t="s">
        <v>3483</v>
      </c>
    </row>
    <row r="1098" spans="1:2" ht="24">
      <c r="A1098" s="95" t="s">
        <v>3484</v>
      </c>
      <c r="B1098" s="96" t="s">
        <v>3485</v>
      </c>
    </row>
    <row r="1099" spans="1:2" ht="24">
      <c r="A1099" s="93" t="s">
        <v>3486</v>
      </c>
      <c r="B1099" s="94" t="s">
        <v>3487</v>
      </c>
    </row>
    <row r="1100" spans="1:2" ht="24">
      <c r="A1100" s="95" t="s">
        <v>3488</v>
      </c>
      <c r="B1100" s="96" t="s">
        <v>2947</v>
      </c>
    </row>
    <row r="1101" spans="1:2">
      <c r="A1101" s="93" t="s">
        <v>3489</v>
      </c>
      <c r="B1101" s="94" t="s">
        <v>3490</v>
      </c>
    </row>
    <row r="1102" spans="1:2">
      <c r="A1102" s="95" t="s">
        <v>3491</v>
      </c>
      <c r="B1102" s="96" t="s">
        <v>3492</v>
      </c>
    </row>
    <row r="1103" spans="1:2" ht="24">
      <c r="A1103" s="93" t="s">
        <v>3493</v>
      </c>
      <c r="B1103" s="94" t="s">
        <v>3494</v>
      </c>
    </row>
    <row r="1104" spans="1:2">
      <c r="A1104" s="95" t="s">
        <v>3495</v>
      </c>
      <c r="B1104" s="96" t="s">
        <v>3496</v>
      </c>
    </row>
    <row r="1105" spans="1:2" ht="24">
      <c r="A1105" s="93" t="s">
        <v>3497</v>
      </c>
      <c r="B1105" s="94" t="s">
        <v>1650</v>
      </c>
    </row>
    <row r="1106" spans="1:2" ht="24">
      <c r="A1106" s="95" t="s">
        <v>3498</v>
      </c>
      <c r="B1106" s="96" t="s">
        <v>3499</v>
      </c>
    </row>
    <row r="1107" spans="1:2">
      <c r="A1107" s="93" t="s">
        <v>3500</v>
      </c>
      <c r="B1107" s="94" t="s">
        <v>3501</v>
      </c>
    </row>
    <row r="1108" spans="1:2">
      <c r="A1108" s="95" t="s">
        <v>3502</v>
      </c>
      <c r="B1108" s="96" t="s">
        <v>3503</v>
      </c>
    </row>
    <row r="1109" spans="1:2">
      <c r="A1109" s="93" t="s">
        <v>3504</v>
      </c>
      <c r="B1109" s="94" t="s">
        <v>3505</v>
      </c>
    </row>
    <row r="1110" spans="1:2" ht="36">
      <c r="A1110" s="95" t="s">
        <v>3506</v>
      </c>
      <c r="B1110" s="96" t="s">
        <v>3507</v>
      </c>
    </row>
    <row r="1111" spans="1:2">
      <c r="A1111" s="93" t="s">
        <v>3508</v>
      </c>
      <c r="B1111" s="94" t="s">
        <v>1685</v>
      </c>
    </row>
    <row r="1112" spans="1:2" ht="24">
      <c r="A1112" s="95" t="s">
        <v>3509</v>
      </c>
      <c r="B1112" s="96" t="s">
        <v>3510</v>
      </c>
    </row>
    <row r="1113" spans="1:2" ht="24">
      <c r="A1113" s="93" t="s">
        <v>3511</v>
      </c>
      <c r="B1113" s="94" t="s">
        <v>1866</v>
      </c>
    </row>
    <row r="1114" spans="1:2">
      <c r="A1114" s="95" t="s">
        <v>3512</v>
      </c>
      <c r="B1114" s="96" t="s">
        <v>3513</v>
      </c>
    </row>
    <row r="1115" spans="1:2">
      <c r="A1115" s="93" t="s">
        <v>3514</v>
      </c>
      <c r="B1115" s="94" t="s">
        <v>3515</v>
      </c>
    </row>
    <row r="1116" spans="1:2">
      <c r="A1116" s="95" t="s">
        <v>3516</v>
      </c>
      <c r="B1116" s="96" t="s">
        <v>3517</v>
      </c>
    </row>
    <row r="1117" spans="1:2">
      <c r="A1117" s="93" t="s">
        <v>3518</v>
      </c>
      <c r="B1117" s="94" t="s">
        <v>3519</v>
      </c>
    </row>
    <row r="1118" spans="1:2">
      <c r="A1118" s="95" t="s">
        <v>3520</v>
      </c>
      <c r="B1118" s="96" t="s">
        <v>3521</v>
      </c>
    </row>
    <row r="1119" spans="1:2">
      <c r="A1119" s="93" t="s">
        <v>3522</v>
      </c>
      <c r="B1119" s="94" t="s">
        <v>3523</v>
      </c>
    </row>
    <row r="1120" spans="1:2" ht="24">
      <c r="A1120" s="95" t="s">
        <v>3524</v>
      </c>
      <c r="B1120" s="96" t="s">
        <v>3525</v>
      </c>
    </row>
    <row r="1121" spans="1:2" ht="24">
      <c r="A1121" s="93" t="s">
        <v>3526</v>
      </c>
      <c r="B1121" s="94" t="s">
        <v>3527</v>
      </c>
    </row>
    <row r="1122" spans="1:2" ht="24">
      <c r="A1122" s="95" t="s">
        <v>3528</v>
      </c>
      <c r="B1122" s="96" t="s">
        <v>3529</v>
      </c>
    </row>
    <row r="1123" spans="1:2">
      <c r="A1123" s="93" t="s">
        <v>3530</v>
      </c>
      <c r="B1123" s="94" t="s">
        <v>3531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561F3-1D3F-4F17-A78B-1B2958E29459}">
  <dimension ref="A1:A5"/>
  <sheetViews>
    <sheetView workbookViewId="0">
      <selection activeCell="E18" sqref="E18"/>
    </sheetView>
  </sheetViews>
  <sheetFormatPr baseColWidth="10" defaultRowHeight="15"/>
  <cols>
    <col min="1" max="1" width="9.42578125" bestFit="1" customWidth="1"/>
  </cols>
  <sheetData>
    <row r="1" spans="1:1">
      <c r="A1" s="99" t="s">
        <v>3532</v>
      </c>
    </row>
    <row r="2" spans="1:1">
      <c r="A2" s="100">
        <v>12234</v>
      </c>
    </row>
    <row r="3" spans="1:1">
      <c r="A3" s="100">
        <v>1333333</v>
      </c>
    </row>
    <row r="4" spans="1:1">
      <c r="A4" s="100">
        <v>11111</v>
      </c>
    </row>
    <row r="5" spans="1:1">
      <c r="A5" s="100">
        <v>22222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0C399-F2DB-4354-BB79-AE280A4A8257}">
  <dimension ref="A1:B4"/>
  <sheetViews>
    <sheetView workbookViewId="0">
      <selection activeCell="D27" sqref="D27"/>
    </sheetView>
  </sheetViews>
  <sheetFormatPr baseColWidth="10" defaultRowHeight="15"/>
  <cols>
    <col min="1" max="1" width="7.140625" bestFit="1" customWidth="1"/>
    <col min="2" max="2" width="15.42578125" bestFit="1" customWidth="1"/>
  </cols>
  <sheetData>
    <row r="1" spans="1:2">
      <c r="A1" s="101" t="s">
        <v>3533</v>
      </c>
      <c r="B1" s="101" t="s">
        <v>3534</v>
      </c>
    </row>
    <row r="2" spans="1:2">
      <c r="A2" s="102">
        <v>1</v>
      </c>
      <c r="B2" s="72" t="s">
        <v>3535</v>
      </c>
    </row>
    <row r="3" spans="1:2">
      <c r="A3" s="102">
        <v>2</v>
      </c>
      <c r="B3" s="72" t="s">
        <v>3536</v>
      </c>
    </row>
    <row r="4" spans="1:2">
      <c r="A4" s="102">
        <v>3</v>
      </c>
      <c r="B4" s="72" t="s">
        <v>3537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D8A85-1570-4676-A2CB-A64A1ADF4D26}">
  <dimension ref="A1:B47"/>
  <sheetViews>
    <sheetView tabSelected="1" topLeftCell="A4" workbookViewId="0">
      <selection activeCell="M10" sqref="M10"/>
    </sheetView>
  </sheetViews>
  <sheetFormatPr baseColWidth="10" defaultRowHeight="15"/>
  <sheetData>
    <row r="1" spans="1:2" ht="30">
      <c r="A1" s="103" t="s">
        <v>3533</v>
      </c>
      <c r="B1" s="104" t="s">
        <v>3538</v>
      </c>
    </row>
    <row r="2" spans="1:2" ht="45">
      <c r="A2" s="105">
        <v>1</v>
      </c>
      <c r="B2" s="106" t="s">
        <v>3539</v>
      </c>
    </row>
    <row r="3" spans="1:2" ht="45">
      <c r="A3" s="105">
        <v>2</v>
      </c>
      <c r="B3" s="106" t="s">
        <v>3540</v>
      </c>
    </row>
    <row r="4" spans="1:2" ht="75">
      <c r="A4" s="105">
        <v>3</v>
      </c>
      <c r="B4" s="106" t="s">
        <v>3541</v>
      </c>
    </row>
    <row r="5" spans="1:2" ht="60">
      <c r="A5" s="105">
        <v>4</v>
      </c>
      <c r="B5" s="106" t="s">
        <v>3542</v>
      </c>
    </row>
    <row r="6" spans="1:2" ht="90">
      <c r="A6" s="105">
        <v>5</v>
      </c>
      <c r="B6" s="106" t="s">
        <v>3543</v>
      </c>
    </row>
    <row r="7" spans="1:2" ht="90">
      <c r="A7" s="105">
        <v>6</v>
      </c>
      <c r="B7" s="106" t="s">
        <v>3544</v>
      </c>
    </row>
    <row r="8" spans="1:2" ht="60">
      <c r="A8" s="105">
        <v>7</v>
      </c>
      <c r="B8" s="106" t="s">
        <v>3545</v>
      </c>
    </row>
    <row r="9" spans="1:2" ht="90">
      <c r="A9" s="105">
        <v>8</v>
      </c>
      <c r="B9" s="106" t="s">
        <v>3546</v>
      </c>
    </row>
    <row r="10" spans="1:2" ht="105">
      <c r="A10" s="105">
        <v>9</v>
      </c>
      <c r="B10" s="106" t="s">
        <v>3547</v>
      </c>
    </row>
    <row r="11" spans="1:2" ht="90">
      <c r="A11" s="105">
        <v>10</v>
      </c>
      <c r="B11" s="106" t="s">
        <v>3548</v>
      </c>
    </row>
    <row r="12" spans="1:2" ht="75">
      <c r="A12" s="105">
        <v>11</v>
      </c>
      <c r="B12" s="106" t="s">
        <v>3549</v>
      </c>
    </row>
    <row r="13" spans="1:2" ht="30">
      <c r="A13" s="105">
        <v>12</v>
      </c>
      <c r="B13" s="106" t="s">
        <v>3550</v>
      </c>
    </row>
    <row r="14" spans="1:2" ht="75">
      <c r="A14" s="105">
        <v>13</v>
      </c>
      <c r="B14" s="106" t="s">
        <v>3551</v>
      </c>
    </row>
    <row r="15" spans="1:2" ht="60">
      <c r="A15" s="105">
        <v>14</v>
      </c>
      <c r="B15" s="106" t="s">
        <v>3552</v>
      </c>
    </row>
    <row r="16" spans="1:2" ht="60">
      <c r="A16" s="105">
        <v>15</v>
      </c>
      <c r="B16" s="106" t="s">
        <v>3553</v>
      </c>
    </row>
    <row r="17" spans="1:2" ht="45">
      <c r="A17" s="105">
        <v>16</v>
      </c>
      <c r="B17" s="106" t="s">
        <v>3554</v>
      </c>
    </row>
    <row r="18" spans="1:2" ht="45">
      <c r="A18" s="105">
        <v>17</v>
      </c>
      <c r="B18" s="106" t="s">
        <v>3555</v>
      </c>
    </row>
    <row r="19" spans="1:2" ht="45">
      <c r="A19" s="105">
        <v>18</v>
      </c>
      <c r="B19" s="106" t="s">
        <v>3556</v>
      </c>
    </row>
    <row r="20" spans="1:2" ht="75">
      <c r="A20" s="105">
        <v>19</v>
      </c>
      <c r="B20" s="106" t="s">
        <v>3557</v>
      </c>
    </row>
    <row r="21" spans="1:2" ht="90">
      <c r="A21" s="105">
        <v>20</v>
      </c>
      <c r="B21" s="106" t="s">
        <v>3558</v>
      </c>
    </row>
    <row r="22" spans="1:2" ht="75">
      <c r="A22" s="105">
        <v>21</v>
      </c>
      <c r="B22" s="106" t="s">
        <v>3559</v>
      </c>
    </row>
    <row r="23" spans="1:2" ht="75">
      <c r="A23" s="105">
        <v>22</v>
      </c>
      <c r="B23" s="106" t="s">
        <v>3560</v>
      </c>
    </row>
    <row r="24" spans="1:2" ht="45">
      <c r="A24" s="105">
        <v>23</v>
      </c>
      <c r="B24" s="106" t="s">
        <v>3561</v>
      </c>
    </row>
    <row r="25" spans="1:2" ht="30">
      <c r="A25" s="105">
        <v>24</v>
      </c>
      <c r="B25" s="106" t="s">
        <v>3562</v>
      </c>
    </row>
    <row r="26" spans="1:2" ht="60">
      <c r="A26" s="105">
        <v>25</v>
      </c>
      <c r="B26" s="106" t="s">
        <v>3563</v>
      </c>
    </row>
    <row r="27" spans="1:2" ht="30">
      <c r="A27" s="105">
        <v>26</v>
      </c>
      <c r="B27" s="106" t="s">
        <v>3564</v>
      </c>
    </row>
    <row r="28" spans="1:2" ht="45">
      <c r="A28" s="105">
        <v>27</v>
      </c>
      <c r="B28" s="106" t="s">
        <v>3565</v>
      </c>
    </row>
    <row r="29" spans="1:2" ht="60">
      <c r="A29" s="105">
        <v>28</v>
      </c>
      <c r="B29" s="106" t="s">
        <v>3566</v>
      </c>
    </row>
    <row r="30" spans="1:2">
      <c r="A30" s="105">
        <v>29</v>
      </c>
      <c r="B30" s="106" t="s">
        <v>3567</v>
      </c>
    </row>
    <row r="31" spans="1:2" ht="45">
      <c r="A31" s="105">
        <v>30</v>
      </c>
      <c r="B31" s="106" t="s">
        <v>3568</v>
      </c>
    </row>
    <row r="32" spans="1:2" ht="45">
      <c r="A32" s="105">
        <v>31</v>
      </c>
      <c r="B32" s="106" t="s">
        <v>3569</v>
      </c>
    </row>
    <row r="33" spans="1:2" ht="30">
      <c r="A33" s="105">
        <v>32</v>
      </c>
      <c r="B33" s="106" t="s">
        <v>3570</v>
      </c>
    </row>
    <row r="34" spans="1:2" ht="30">
      <c r="A34" s="105">
        <v>33</v>
      </c>
      <c r="B34" s="106" t="s">
        <v>3571</v>
      </c>
    </row>
    <row r="35" spans="1:2" ht="45">
      <c r="A35" s="105">
        <v>34</v>
      </c>
      <c r="B35" s="106" t="s">
        <v>3572</v>
      </c>
    </row>
    <row r="36" spans="1:2" ht="60">
      <c r="A36" s="105">
        <v>35</v>
      </c>
      <c r="B36" s="106" t="s">
        <v>3573</v>
      </c>
    </row>
    <row r="37" spans="1:2" ht="45">
      <c r="A37" s="105">
        <v>36</v>
      </c>
      <c r="B37" s="106" t="s">
        <v>3574</v>
      </c>
    </row>
    <row r="38" spans="1:2" ht="30">
      <c r="A38" s="105">
        <v>37</v>
      </c>
      <c r="B38" s="106" t="s">
        <v>3575</v>
      </c>
    </row>
    <row r="39" spans="1:2">
      <c r="A39" s="105">
        <v>38</v>
      </c>
      <c r="B39" s="106" t="s">
        <v>3576</v>
      </c>
    </row>
    <row r="40" spans="1:2" ht="45">
      <c r="A40" s="105">
        <v>39</v>
      </c>
      <c r="B40" s="106" t="s">
        <v>3577</v>
      </c>
    </row>
    <row r="41" spans="1:2" ht="60">
      <c r="A41" s="105">
        <v>40</v>
      </c>
      <c r="B41" s="106" t="s">
        <v>3578</v>
      </c>
    </row>
    <row r="42" spans="1:2" ht="45">
      <c r="A42" s="105">
        <v>41</v>
      </c>
      <c r="B42" s="106" t="s">
        <v>3579</v>
      </c>
    </row>
    <row r="43" spans="1:2" ht="60">
      <c r="A43" s="105">
        <v>42</v>
      </c>
      <c r="B43" s="106" t="s">
        <v>3580</v>
      </c>
    </row>
    <row r="44" spans="1:2" ht="30">
      <c r="A44" s="105">
        <v>43</v>
      </c>
      <c r="B44" s="106" t="s">
        <v>3581</v>
      </c>
    </row>
    <row r="45" spans="1:2" ht="45">
      <c r="A45" s="105">
        <v>44</v>
      </c>
      <c r="B45" s="106" t="s">
        <v>3582</v>
      </c>
    </row>
    <row r="46" spans="1:2" ht="60">
      <c r="A46" s="105">
        <v>45</v>
      </c>
      <c r="B46" s="106" t="s">
        <v>3583</v>
      </c>
    </row>
    <row r="47" spans="1:2" ht="60">
      <c r="A47" s="105">
        <v>46</v>
      </c>
      <c r="B47" s="106" t="s">
        <v>3584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PruebaTecnica</vt:lpstr>
      <vt:lpstr>DetalleTécnico</vt:lpstr>
      <vt:lpstr>Lineas de credito</vt:lpstr>
      <vt:lpstr>CodigoDANE</vt:lpstr>
      <vt:lpstr>Convenios</vt:lpstr>
      <vt:lpstr>BaseLiquidacion</vt:lpstr>
      <vt:lpstr>CodAseguradoras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SANTIAGO JIMENEZ CARRANZA.E -67</dc:creator>
  <cp:lastModifiedBy>JOSE SANTIAGO JIMENEZ CARRANZA.E -67</cp:lastModifiedBy>
  <dcterms:created xsi:type="dcterms:W3CDTF">2026-05-26T14:14:46Z</dcterms:created>
  <dcterms:modified xsi:type="dcterms:W3CDTF">2026-05-26T20:43:49Z</dcterms:modified>
</cp:coreProperties>
</file>